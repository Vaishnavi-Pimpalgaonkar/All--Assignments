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B10DB232-B65B-4785-9441-197269D25835}" xr6:coauthVersionLast="47" xr6:coauthVersionMax="47" xr10:uidLastSave="{00000000-0000-0000-0000-000000000000}"/>
  <bookViews>
    <workbookView xWindow="-120" yWindow="-120" windowWidth="20730" windowHeight="11160" activeTab="3" xr2:uid="{BA068345-EBEA-48F2-9B14-DF3EBF0CAF31}"/>
  </bookViews>
  <sheets>
    <sheet name="cleaned_data" sheetId="2" r:id="rId1"/>
    <sheet name="Dashboard_charts" sheetId="4" r:id="rId2"/>
    <sheet name="uncleaned_data" sheetId="1" r:id="rId3"/>
    <sheet name="charts" sheetId="3" r:id="rId4"/>
  </sheets>
  <definedNames>
    <definedName name="_xlnm._FilterDatabase" localSheetId="2" hidden="1">uncleaned_data!$A$1:$K$12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2" l="1"/>
  <c r="E54" i="2"/>
  <c r="E55" i="2"/>
  <c r="E56" i="2"/>
  <c r="E57" i="2"/>
  <c r="E58" i="2"/>
  <c r="E59" i="2"/>
  <c r="E60" i="2"/>
  <c r="E61" i="2"/>
  <c r="E62" i="2"/>
  <c r="E63" i="2"/>
  <c r="E53" i="2"/>
  <c r="L2" i="3"/>
  <c r="J27" i="2"/>
  <c r="K13" i="2"/>
  <c r="K14" i="2"/>
  <c r="L5" i="3"/>
  <c r="L4" i="3"/>
  <c r="L3" i="3"/>
  <c r="B6" i="3"/>
  <c r="B5" i="3"/>
  <c r="B4" i="3"/>
  <c r="B3" i="3"/>
  <c r="F22" i="2"/>
  <c r="F33" i="2"/>
  <c r="J22" i="2"/>
  <c r="J32" i="2"/>
  <c r="J31" i="2"/>
  <c r="J23" i="2"/>
  <c r="F24" i="2"/>
  <c r="F23" i="2"/>
  <c r="F25" i="2"/>
  <c r="J28" i="2" l="1"/>
</calcChain>
</file>

<file path=xl/sharedStrings.xml><?xml version="1.0" encoding="utf-8"?>
<sst xmlns="http://schemas.openxmlformats.org/spreadsheetml/2006/main" count="335" uniqueCount="111">
  <si>
    <t>Name</t>
  </si>
  <si>
    <t>Age</t>
  </si>
  <si>
    <t>Family Role</t>
  </si>
  <si>
    <t>Occupation</t>
  </si>
  <si>
    <t>Time spent on screen (hrs)</t>
  </si>
  <si>
    <t>Time Spent on</t>
  </si>
  <si>
    <t>Device you used most</t>
  </si>
  <si>
    <t>Do you used screen after 9 PM</t>
  </si>
  <si>
    <t>Do You think screen time is too much</t>
  </si>
  <si>
    <t>Has is affected your sleep</t>
  </si>
  <si>
    <t>child</t>
  </si>
  <si>
    <t>stud</t>
  </si>
  <si>
    <t>snapchat</t>
  </si>
  <si>
    <t>na</t>
  </si>
  <si>
    <t>alice</t>
  </si>
  <si>
    <t>job seeker</t>
  </si>
  <si>
    <t>study</t>
  </si>
  <si>
    <t>grandparent</t>
  </si>
  <si>
    <t>social media</t>
  </si>
  <si>
    <t>Paras</t>
  </si>
  <si>
    <t>working</t>
  </si>
  <si>
    <t>laptop</t>
  </si>
  <si>
    <t>homeMaker</t>
  </si>
  <si>
    <t>youtube</t>
  </si>
  <si>
    <t>mobile</t>
  </si>
  <si>
    <t xml:space="preserve"> </t>
  </si>
  <si>
    <t>Suresh</t>
  </si>
  <si>
    <t xml:space="preserve">       juilee</t>
  </si>
  <si>
    <t>sai</t>
  </si>
  <si>
    <t>retired</t>
  </si>
  <si>
    <t>Parent</t>
  </si>
  <si>
    <t>Sibling</t>
  </si>
  <si>
    <t>Student</t>
  </si>
  <si>
    <t xml:space="preserve">   Study</t>
  </si>
  <si>
    <t>facebook</t>
  </si>
  <si>
    <t>work</t>
  </si>
  <si>
    <t xml:space="preserve">   Work</t>
  </si>
  <si>
    <t xml:space="preserve"> Tablet</t>
  </si>
  <si>
    <t>Laptop</t>
  </si>
  <si>
    <t>smartTv</t>
  </si>
  <si>
    <t>Yes</t>
  </si>
  <si>
    <t>No</t>
  </si>
  <si>
    <t>Gender</t>
  </si>
  <si>
    <t>Female</t>
  </si>
  <si>
    <t xml:space="preserve"> Male</t>
  </si>
  <si>
    <t>Male</t>
  </si>
  <si>
    <t xml:space="preserve"> sibling</t>
  </si>
  <si>
    <t xml:space="preserve"> Parent</t>
  </si>
  <si>
    <t>parent</t>
  </si>
  <si>
    <t xml:space="preserve">  P</t>
  </si>
  <si>
    <t xml:space="preserve"> Insta</t>
  </si>
  <si>
    <t xml:space="preserve"> na</t>
  </si>
  <si>
    <t xml:space="preserve"> Working</t>
  </si>
  <si>
    <t xml:space="preserve"> NA</t>
  </si>
  <si>
    <t xml:space="preserve"> Yes</t>
  </si>
  <si>
    <t xml:space="preserve"> kamal</t>
  </si>
  <si>
    <t>DOLLY</t>
  </si>
  <si>
    <t xml:space="preserve"> ramesh</t>
  </si>
  <si>
    <t>N/A</t>
  </si>
  <si>
    <t>Working</t>
  </si>
  <si>
    <t>HomeMaker</t>
  </si>
  <si>
    <t>Job Seeker</t>
  </si>
  <si>
    <t>Retired</t>
  </si>
  <si>
    <t>Child</t>
  </si>
  <si>
    <t>Grandparent</t>
  </si>
  <si>
    <t xml:space="preserve"> Sibling</t>
  </si>
  <si>
    <t>Study</t>
  </si>
  <si>
    <t>Work</t>
  </si>
  <si>
    <t>Mobile</t>
  </si>
  <si>
    <t>SmartTv</t>
  </si>
  <si>
    <t>Screen Time (HRS)</t>
  </si>
  <si>
    <t>Purpose of Screen Time</t>
  </si>
  <si>
    <t>Used of screen after 9PM</t>
  </si>
  <si>
    <t>Affects Sleep</t>
  </si>
  <si>
    <t>Too much screen time</t>
  </si>
  <si>
    <t xml:space="preserve"> Ramesh</t>
  </si>
  <si>
    <t>Alice</t>
  </si>
  <si>
    <t>Dolly</t>
  </si>
  <si>
    <t>Juilee</t>
  </si>
  <si>
    <t xml:space="preserve"> Kamal</t>
  </si>
  <si>
    <t>Sai</t>
  </si>
  <si>
    <t>AVERAGE SCREEN TIME BY AGE GROUP</t>
  </si>
  <si>
    <t>AGE</t>
  </si>
  <si>
    <t>45 to 55</t>
  </si>
  <si>
    <t>12 to 22</t>
  </si>
  <si>
    <t>23 to 33</t>
  </si>
  <si>
    <t>34 to 44</t>
  </si>
  <si>
    <t>Screen used after 9PM</t>
  </si>
  <si>
    <t>Screen don't used after 9PM</t>
  </si>
  <si>
    <t>Ppl feel affects sleep</t>
  </si>
  <si>
    <t>Ppl feel don't affect sleep</t>
  </si>
  <si>
    <t>Screen time for work</t>
  </si>
  <si>
    <t>Screen time for entertainment</t>
  </si>
  <si>
    <t>Entertainment</t>
  </si>
  <si>
    <t>AVG. screen time(hrs)</t>
  </si>
  <si>
    <t>Hrs</t>
  </si>
  <si>
    <t>Purpose</t>
  </si>
  <si>
    <t>Tablet</t>
  </si>
  <si>
    <t>Devices</t>
  </si>
  <si>
    <t>Avg.Screen Time</t>
  </si>
  <si>
    <t>SmartTV</t>
  </si>
  <si>
    <t>**Count People**</t>
  </si>
  <si>
    <t>Screen time vs Entertainment(Hrs)</t>
  </si>
  <si>
    <t>Sum of Screen Time (HRS)</t>
  </si>
  <si>
    <t>Row Labels</t>
  </si>
  <si>
    <t>(blank)</t>
  </si>
  <si>
    <t>Grand Total</t>
  </si>
  <si>
    <t>Device used people most</t>
  </si>
  <si>
    <t>convert affect sleep data "yes"/"no" to 1/0</t>
  </si>
  <si>
    <t>Affects sleep</t>
  </si>
  <si>
    <t>Count of Affects Sleep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</si>
</sst>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/>
    <xf numFmtId="17" fontId="0" fillId="0" borderId="0" xfId="0" applyNumberFormat="1"/>
    <xf numFmtId="0" fontId="0" fillId="0" borderId="1" xfId="0" applyBorder="1"/>
    <xf numFmtId="0" fontId="3" fillId="0" borderId="1" xfId="0" applyFont="1" applyBorder="1"/>
    <xf numFmtId="0" fontId="1" fillId="0" borderId="1" xfId="0" applyFont="1" applyBorder="1"/>
    <xf numFmtId="17" fontId="0" fillId="2" borderId="1" xfId="0" applyNumberFormat="1" applyFont="1" applyFill="1" applyBorder="1"/>
    <xf numFmtId="0" fontId="0" fillId="0" borderId="1" xfId="0" applyFont="1" applyBorder="1"/>
    <xf numFmtId="0" fontId="0" fillId="2" borderId="1" xfId="0" applyFont="1" applyFill="1" applyBorder="1"/>
    <xf numFmtId="164" fontId="0" fillId="0" borderId="1" xfId="0" applyNumberFormat="1" applyBorder="1"/>
    <xf numFmtId="0" fontId="0" fillId="0" borderId="0" xfId="0" applyBorder="1"/>
    <xf numFmtId="0" fontId="3" fillId="0" borderId="2" xfId="0" applyFont="1" applyBorder="1"/>
    <xf numFmtId="0" fontId="3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1" fillId="0" borderId="4" xfId="0" applyFont="1" applyBorder="1"/>
    <xf numFmtId="0" fontId="1" fillId="0" borderId="0" xfId="0" applyFont="1" applyBorder="1"/>
    <xf numFmtId="0" fontId="0" fillId="0" borderId="0" xfId="0" applyNumberFormat="1"/>
    <xf numFmtId="0" fontId="0" fillId="0" borderId="0" xfId="0" pivotButton="1"/>
    <xf numFmtId="0" fontId="0" fillId="0" borderId="8" xfId="0" applyBorder="1"/>
    <xf numFmtId="0" fontId="5" fillId="3" borderId="9" xfId="0" applyFont="1" applyFill="1" applyBorder="1"/>
    <xf numFmtId="0" fontId="0" fillId="2" borderId="9" xfId="0" applyFont="1" applyFill="1" applyBorder="1" applyAlignment="1">
      <alignment horizontal="left"/>
    </xf>
    <xf numFmtId="0" fontId="0" fillId="0" borderId="9" xfId="0" applyFont="1" applyBorder="1" applyAlignment="1">
      <alignment horizontal="left"/>
    </xf>
    <xf numFmtId="0" fontId="0" fillId="0" borderId="10" xfId="0" applyBorder="1"/>
  </cellXfs>
  <cellStyles count="1">
    <cellStyle name="Normal" xfId="0" builtinId="0"/>
  </cellStyles>
  <dxfs count="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[Assignment1-screen-time.xlsx]Dashboard_charts!PivotTable10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Screen</a:t>
            </a:r>
            <a:r>
              <a:rPr lang="en-US" baseline="0"/>
              <a:t> Time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Dashboard_charts!$B$3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Dashboard_charts!$A$4:$A$8</c:f>
              <c:strCache>
                <c:ptCount val="4"/>
                <c:pt idx="0">
                  <c:v>12 to 22</c:v>
                </c:pt>
                <c:pt idx="1">
                  <c:v>23 to 33</c:v>
                </c:pt>
                <c:pt idx="2">
                  <c:v>34 to 44</c:v>
                </c:pt>
                <c:pt idx="3">
                  <c:v>45 to 55</c:v>
                </c:pt>
              </c:strCache>
            </c:strRef>
          </c:cat>
          <c:val>
            <c:numRef>
              <c:f>Dashboard_charts!$B$4:$B$8</c:f>
              <c:numCache>
                <c:formatCode>General</c:formatCode>
                <c:ptCount val="4"/>
                <c:pt idx="0">
                  <c:v>3</c:v>
                </c:pt>
                <c:pt idx="1">
                  <c:v>7</c:v>
                </c:pt>
                <c:pt idx="2">
                  <c:v>34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43-4519-AD06-25AE893F6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2526096"/>
        <c:axId val="620796080"/>
        <c:axId val="0"/>
      </c:bar3DChart>
      <c:catAx>
        <c:axId val="582526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796080"/>
        <c:crosses val="autoZero"/>
        <c:auto val="1"/>
        <c:lblAlgn val="ctr"/>
        <c:lblOffset val="100"/>
        <c:noMultiLvlLbl val="0"/>
      </c:catAx>
      <c:valAx>
        <c:axId val="62079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52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[Assignment1-screen-time.xlsx]Dashboard_charts!PivotTable11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Device</a:t>
            </a:r>
            <a:r>
              <a:rPr lang="en-US" baseline="0"/>
              <a:t> People Used Most by Hrs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Dashboard_charts!$H$3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C0-43BE-A764-AACCF5FFB4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C0-43BE-A764-AACCF5FFB4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C0-43BE-A764-AACCF5FFB4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C0-43BE-A764-AACCF5FFB4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Dashboard_charts!$G$4:$G$8</c:f>
              <c:strCache>
                <c:ptCount val="4"/>
                <c:pt idx="0">
                  <c:v>Laptop</c:v>
                </c:pt>
                <c:pt idx="1">
                  <c:v>Mobile</c:v>
                </c:pt>
                <c:pt idx="2">
                  <c:v>SmartTv</c:v>
                </c:pt>
                <c:pt idx="3">
                  <c:v>Tablet</c:v>
                </c:pt>
              </c:strCache>
            </c:strRef>
          </c:cat>
          <c:val>
            <c:numRef>
              <c:f>Dashboard_charts!$H$4:$H$8</c:f>
              <c:numCache>
                <c:formatCode>General</c:formatCode>
                <c:ptCount val="4"/>
                <c:pt idx="0">
                  <c:v>30</c:v>
                </c:pt>
                <c:pt idx="1">
                  <c:v>16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23-4B4A-B5F5-525D882F907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[Assignment1-screen-time.xlsx]Dashboard_charts!PivotTable12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Screen</a:t>
            </a:r>
            <a:r>
              <a:rPr lang="en-US" baseline="0"/>
              <a:t> Time for Work vs Entertainment(Hrs)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Dashboard_charts!$B$34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Dashboard_charts!$A$35:$A$37</c:f>
              <c:strCache>
                <c:ptCount val="2"/>
                <c:pt idx="0">
                  <c:v>Entertainment</c:v>
                </c:pt>
                <c:pt idx="1">
                  <c:v>Work</c:v>
                </c:pt>
              </c:strCache>
            </c:strRef>
          </c:cat>
          <c:val>
            <c:numRef>
              <c:f>Dashboard_charts!$B$35:$B$37</c:f>
              <c:numCache>
                <c:formatCode>General</c:formatCode>
                <c:ptCount val="2"/>
                <c:pt idx="0">
                  <c:v>18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3-4968-837C-981101256D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28224576"/>
        <c:axId val="626676256"/>
      </c:barChart>
      <c:catAx>
        <c:axId val="628224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676256"/>
        <c:crosses val="autoZero"/>
        <c:auto val="1"/>
        <c:lblAlgn val="ctr"/>
        <c:lblOffset val="100"/>
        <c:noMultiLvlLbl val="0"/>
      </c:catAx>
      <c:valAx>
        <c:axId val="62667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22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uncleaned_data!$C$1</c:f>
              <c:strCache>
                <c:ptCount val="1"/>
                <c:pt idx="0">
                  <c:v>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uncleaned_data!$A$2:$B$12</c15:sqref>
                  </c15:fullRef>
                  <c15:levelRef>
                    <c15:sqref>uncleaned_data!$A$2:$A$12</c15:sqref>
                  </c15:levelRef>
                </c:ext>
              </c:extLst>
              <c:f>uncleaned_data!$A$2:$A$12</c:f>
              <c:strCache>
                <c:ptCount val="11"/>
                <c:pt idx="1">
                  <c:v>alice</c:v>
                </c:pt>
                <c:pt idx="2">
                  <c:v> kamal</c:v>
                </c:pt>
                <c:pt idx="3">
                  <c:v>Paras</c:v>
                </c:pt>
                <c:pt idx="4">
                  <c:v>DOLLY</c:v>
                </c:pt>
                <c:pt idx="5">
                  <c:v> </c:v>
                </c:pt>
                <c:pt idx="6">
                  <c:v> ramesh</c:v>
                </c:pt>
                <c:pt idx="7">
                  <c:v>Suresh</c:v>
                </c:pt>
                <c:pt idx="8">
                  <c:v>       juilee</c:v>
                </c:pt>
                <c:pt idx="10">
                  <c:v>sai</c:v>
                </c:pt>
              </c:strCache>
            </c:strRef>
          </c:cat>
          <c:val>
            <c:numRef>
              <c:f>uncleaned_data!$C$2:$C$12</c:f>
              <c:numCache>
                <c:formatCode>General</c:formatCode>
                <c:ptCount val="11"/>
                <c:pt idx="0">
                  <c:v>12</c:v>
                </c:pt>
                <c:pt idx="1">
                  <c:v>25</c:v>
                </c:pt>
                <c:pt idx="2">
                  <c:v>51</c:v>
                </c:pt>
                <c:pt idx="3">
                  <c:v>35</c:v>
                </c:pt>
                <c:pt idx="4">
                  <c:v>42</c:v>
                </c:pt>
                <c:pt idx="5">
                  <c:v>22</c:v>
                </c:pt>
                <c:pt idx="6">
                  <c:v>55</c:v>
                </c:pt>
                <c:pt idx="7">
                  <c:v>48</c:v>
                </c:pt>
                <c:pt idx="8">
                  <c:v>35</c:v>
                </c:pt>
                <c:pt idx="9">
                  <c:v>40</c:v>
                </c:pt>
                <c:pt idx="1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1-4C38-A3E2-521FFCCA32CD}"/>
            </c:ext>
          </c:extLst>
        </c:ser>
        <c:ser>
          <c:idx val="3"/>
          <c:order val="3"/>
          <c:tx>
            <c:strRef>
              <c:f>uncleaned_data!$F$1</c:f>
              <c:strCache>
                <c:ptCount val="1"/>
                <c:pt idx="0">
                  <c:v>Time spent on screen (hrs)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uncleaned_data!$A$2:$B$12</c15:sqref>
                  </c15:fullRef>
                  <c15:levelRef>
                    <c15:sqref>uncleaned_data!$A$2:$A$12</c15:sqref>
                  </c15:levelRef>
                </c:ext>
              </c:extLst>
              <c:f>uncleaned_data!$A$2:$A$12</c:f>
              <c:strCache>
                <c:ptCount val="11"/>
                <c:pt idx="1">
                  <c:v>alice</c:v>
                </c:pt>
                <c:pt idx="2">
                  <c:v> kamal</c:v>
                </c:pt>
                <c:pt idx="3">
                  <c:v>Paras</c:v>
                </c:pt>
                <c:pt idx="4">
                  <c:v>DOLLY</c:v>
                </c:pt>
                <c:pt idx="5">
                  <c:v> </c:v>
                </c:pt>
                <c:pt idx="6">
                  <c:v> ramesh</c:v>
                </c:pt>
                <c:pt idx="7">
                  <c:v>Suresh</c:v>
                </c:pt>
                <c:pt idx="8">
                  <c:v>       juilee</c:v>
                </c:pt>
                <c:pt idx="10">
                  <c:v>sai</c:v>
                </c:pt>
              </c:strCache>
            </c:strRef>
          </c:cat>
          <c:val>
            <c:numRef>
              <c:f>uncleaned_data!$F$2:$F$12</c:f>
              <c:numCache>
                <c:formatCode>General</c:formatCode>
                <c:ptCount val="11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10</c:v>
                </c:pt>
                <c:pt idx="8">
                  <c:v>8</c:v>
                </c:pt>
                <c:pt idx="9">
                  <c:v>4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01-4C38-A3E2-521FFCCA3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935104"/>
        <c:axId val="2479388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uncleaned_data!$D$1</c15:sqref>
                        </c15:formulaRef>
                      </c:ext>
                    </c:extLst>
                    <c:strCache>
                      <c:ptCount val="1"/>
                      <c:pt idx="0">
                        <c:v>Family Role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uncleaned_data!$A$2:$B$12</c15:sqref>
                        </c15:fullRef>
                        <c15:levelRef>
                          <c15:sqref>uncleaned_data!$A$2:$A$12</c15:sqref>
                        </c15:levelRef>
                        <c15:formulaRef>
                          <c15:sqref>uncleaned_data!$A$2:$A$12</c15:sqref>
                        </c15:formulaRef>
                      </c:ext>
                    </c:extLst>
                    <c:strCache>
                      <c:ptCount val="11"/>
                      <c:pt idx="1">
                        <c:v>alice</c:v>
                      </c:pt>
                      <c:pt idx="2">
                        <c:v> kamal</c:v>
                      </c:pt>
                      <c:pt idx="3">
                        <c:v>Paras</c:v>
                      </c:pt>
                      <c:pt idx="4">
                        <c:v>DOLLY</c:v>
                      </c:pt>
                      <c:pt idx="5">
                        <c:v> </c:v>
                      </c:pt>
                      <c:pt idx="6">
                        <c:v> ramesh</c:v>
                      </c:pt>
                      <c:pt idx="7">
                        <c:v>Suresh</c:v>
                      </c:pt>
                      <c:pt idx="8">
                        <c:v>       juilee</c:v>
                      </c:pt>
                      <c:pt idx="10">
                        <c:v>sai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uncleaned_data!$D$2:$D$12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201-4C38-A3E2-521FFCCA32CD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uncleaned_data!$E$1</c15:sqref>
                        </c15:formulaRef>
                      </c:ext>
                    </c:extLst>
                    <c:strCache>
                      <c:ptCount val="1"/>
                      <c:pt idx="0">
                        <c:v>Occupation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uncleaned_data!$A$2:$B$12</c15:sqref>
                        </c15:fullRef>
                        <c15:levelRef>
                          <c15:sqref>uncleaned_data!$A$2:$A$12</c15:sqref>
                        </c15:levelRef>
                        <c15:formulaRef>
                          <c15:sqref>uncleaned_data!$A$2:$A$12</c15:sqref>
                        </c15:formulaRef>
                      </c:ext>
                    </c:extLst>
                    <c:strCache>
                      <c:ptCount val="11"/>
                      <c:pt idx="1">
                        <c:v>alice</c:v>
                      </c:pt>
                      <c:pt idx="2">
                        <c:v> kamal</c:v>
                      </c:pt>
                      <c:pt idx="3">
                        <c:v>Paras</c:v>
                      </c:pt>
                      <c:pt idx="4">
                        <c:v>DOLLY</c:v>
                      </c:pt>
                      <c:pt idx="5">
                        <c:v> </c:v>
                      </c:pt>
                      <c:pt idx="6">
                        <c:v> ramesh</c:v>
                      </c:pt>
                      <c:pt idx="7">
                        <c:v>Suresh</c:v>
                      </c:pt>
                      <c:pt idx="8">
                        <c:v>       juilee</c:v>
                      </c:pt>
                      <c:pt idx="10">
                        <c:v>sai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uncleaned_data!$E$2:$E$12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201-4C38-A3E2-521FFCCA32C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uncleaned_data!$G$1</c15:sqref>
                        </c15:formulaRef>
                      </c:ext>
                    </c:extLst>
                    <c:strCache>
                      <c:ptCount val="1"/>
                      <c:pt idx="0">
                        <c:v>Time Spent on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uncleaned_data!$A$2:$B$12</c15:sqref>
                        </c15:fullRef>
                        <c15:levelRef>
                          <c15:sqref>uncleaned_data!$A$2:$A$12</c15:sqref>
                        </c15:levelRef>
                        <c15:formulaRef>
                          <c15:sqref>uncleaned_data!$A$2:$A$12</c15:sqref>
                        </c15:formulaRef>
                      </c:ext>
                    </c:extLst>
                    <c:strCache>
                      <c:ptCount val="11"/>
                      <c:pt idx="1">
                        <c:v>alice</c:v>
                      </c:pt>
                      <c:pt idx="2">
                        <c:v> kamal</c:v>
                      </c:pt>
                      <c:pt idx="3">
                        <c:v>Paras</c:v>
                      </c:pt>
                      <c:pt idx="4">
                        <c:v>DOLLY</c:v>
                      </c:pt>
                      <c:pt idx="5">
                        <c:v> </c:v>
                      </c:pt>
                      <c:pt idx="6">
                        <c:v> ramesh</c:v>
                      </c:pt>
                      <c:pt idx="7">
                        <c:v>Suresh</c:v>
                      </c:pt>
                      <c:pt idx="8">
                        <c:v>       juilee</c:v>
                      </c:pt>
                      <c:pt idx="10">
                        <c:v>sai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uncleaned_data!$G$2:$G$12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201-4C38-A3E2-521FFCCA32C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uncleaned_data!$H$1</c15:sqref>
                        </c15:formulaRef>
                      </c:ext>
                    </c:extLst>
                    <c:strCache>
                      <c:ptCount val="1"/>
                      <c:pt idx="0">
                        <c:v>Device you used most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uncleaned_data!$A$2:$B$12</c15:sqref>
                        </c15:fullRef>
                        <c15:levelRef>
                          <c15:sqref>uncleaned_data!$A$2:$A$12</c15:sqref>
                        </c15:levelRef>
                        <c15:formulaRef>
                          <c15:sqref>uncleaned_data!$A$2:$A$12</c15:sqref>
                        </c15:formulaRef>
                      </c:ext>
                    </c:extLst>
                    <c:strCache>
                      <c:ptCount val="11"/>
                      <c:pt idx="1">
                        <c:v>alice</c:v>
                      </c:pt>
                      <c:pt idx="2">
                        <c:v> kamal</c:v>
                      </c:pt>
                      <c:pt idx="3">
                        <c:v>Paras</c:v>
                      </c:pt>
                      <c:pt idx="4">
                        <c:v>DOLLY</c:v>
                      </c:pt>
                      <c:pt idx="5">
                        <c:v> </c:v>
                      </c:pt>
                      <c:pt idx="6">
                        <c:v> ramesh</c:v>
                      </c:pt>
                      <c:pt idx="7">
                        <c:v>Suresh</c:v>
                      </c:pt>
                      <c:pt idx="8">
                        <c:v>       juilee</c:v>
                      </c:pt>
                      <c:pt idx="10">
                        <c:v>sai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uncleaned_data!$H$2:$H$12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201-4C38-A3E2-521FFCCA32CD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uncleaned_data!$I$1</c15:sqref>
                        </c15:formulaRef>
                      </c:ext>
                    </c:extLst>
                    <c:strCache>
                      <c:ptCount val="1"/>
                      <c:pt idx="0">
                        <c:v>Do you used screen after 9 PM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uncleaned_data!$A$2:$B$12</c15:sqref>
                        </c15:fullRef>
                        <c15:levelRef>
                          <c15:sqref>uncleaned_data!$A$2:$A$12</c15:sqref>
                        </c15:levelRef>
                        <c15:formulaRef>
                          <c15:sqref>uncleaned_data!$A$2:$A$12</c15:sqref>
                        </c15:formulaRef>
                      </c:ext>
                    </c:extLst>
                    <c:strCache>
                      <c:ptCount val="11"/>
                      <c:pt idx="1">
                        <c:v>alice</c:v>
                      </c:pt>
                      <c:pt idx="2">
                        <c:v> kamal</c:v>
                      </c:pt>
                      <c:pt idx="3">
                        <c:v>Paras</c:v>
                      </c:pt>
                      <c:pt idx="4">
                        <c:v>DOLLY</c:v>
                      </c:pt>
                      <c:pt idx="5">
                        <c:v> </c:v>
                      </c:pt>
                      <c:pt idx="6">
                        <c:v> ramesh</c:v>
                      </c:pt>
                      <c:pt idx="7">
                        <c:v>Suresh</c:v>
                      </c:pt>
                      <c:pt idx="8">
                        <c:v>       juilee</c:v>
                      </c:pt>
                      <c:pt idx="10">
                        <c:v>sai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uncleaned_data!$I$2:$I$12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201-4C38-A3E2-521FFCCA32CD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uncleaned_data!$J$1</c15:sqref>
                        </c15:formulaRef>
                      </c:ext>
                    </c:extLst>
                    <c:strCache>
                      <c:ptCount val="1"/>
                      <c:pt idx="0">
                        <c:v>Do You think screen time is too much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uncleaned_data!$A$2:$B$12</c15:sqref>
                        </c15:fullRef>
                        <c15:levelRef>
                          <c15:sqref>uncleaned_data!$A$2:$A$12</c15:sqref>
                        </c15:levelRef>
                        <c15:formulaRef>
                          <c15:sqref>uncleaned_data!$A$2:$A$12</c15:sqref>
                        </c15:formulaRef>
                      </c:ext>
                    </c:extLst>
                    <c:strCache>
                      <c:ptCount val="11"/>
                      <c:pt idx="1">
                        <c:v>alice</c:v>
                      </c:pt>
                      <c:pt idx="2">
                        <c:v> kamal</c:v>
                      </c:pt>
                      <c:pt idx="3">
                        <c:v>Paras</c:v>
                      </c:pt>
                      <c:pt idx="4">
                        <c:v>DOLLY</c:v>
                      </c:pt>
                      <c:pt idx="5">
                        <c:v> </c:v>
                      </c:pt>
                      <c:pt idx="6">
                        <c:v> ramesh</c:v>
                      </c:pt>
                      <c:pt idx="7">
                        <c:v>Suresh</c:v>
                      </c:pt>
                      <c:pt idx="8">
                        <c:v>       juilee</c:v>
                      </c:pt>
                      <c:pt idx="10">
                        <c:v>sai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uncleaned_data!$J$2:$J$12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201-4C38-A3E2-521FFCCA32CD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uncleaned_data!$K$1</c15:sqref>
                        </c15:formulaRef>
                      </c:ext>
                    </c:extLst>
                    <c:strCache>
                      <c:ptCount val="1"/>
                      <c:pt idx="0">
                        <c:v>Has is affected your sleep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uncleaned_data!$A$2:$B$12</c15:sqref>
                        </c15:fullRef>
                        <c15:levelRef>
                          <c15:sqref>uncleaned_data!$A$2:$A$12</c15:sqref>
                        </c15:levelRef>
                        <c15:formulaRef>
                          <c15:sqref>uncleaned_data!$A$2:$A$12</c15:sqref>
                        </c15:formulaRef>
                      </c:ext>
                    </c:extLst>
                    <c:strCache>
                      <c:ptCount val="11"/>
                      <c:pt idx="1">
                        <c:v>alice</c:v>
                      </c:pt>
                      <c:pt idx="2">
                        <c:v> kamal</c:v>
                      </c:pt>
                      <c:pt idx="3">
                        <c:v>Paras</c:v>
                      </c:pt>
                      <c:pt idx="4">
                        <c:v>DOLLY</c:v>
                      </c:pt>
                      <c:pt idx="5">
                        <c:v> </c:v>
                      </c:pt>
                      <c:pt idx="6">
                        <c:v> ramesh</c:v>
                      </c:pt>
                      <c:pt idx="7">
                        <c:v>Suresh</c:v>
                      </c:pt>
                      <c:pt idx="8">
                        <c:v>       juilee</c:v>
                      </c:pt>
                      <c:pt idx="10">
                        <c:v>sai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uncleaned_data!$K$2:$K$12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201-4C38-A3E2-521FFCCA32CD}"/>
                  </c:ext>
                </c:extLst>
              </c15:ser>
            </c15:filteredBarSeries>
          </c:ext>
        </c:extLst>
      </c:barChart>
      <c:catAx>
        <c:axId val="24793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938848"/>
        <c:crosses val="autoZero"/>
        <c:auto val="1"/>
        <c:lblAlgn val="ctr"/>
        <c:lblOffset val="100"/>
        <c:noMultiLvlLbl val="0"/>
      </c:catAx>
      <c:valAx>
        <c:axId val="24793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93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</a:t>
            </a:r>
            <a:r>
              <a:rPr lang="en-US" baseline="0"/>
              <a:t> vs Entertainment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charts!$E$2</c:f>
              <c:strCache>
                <c:ptCount val="1"/>
                <c:pt idx="0">
                  <c:v>Work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charts!$F$1</c:f>
              <c:strCache>
                <c:ptCount val="1"/>
                <c:pt idx="0">
                  <c:v>Hrs</c:v>
                </c:pt>
              </c:strCache>
            </c:strRef>
          </c:cat>
          <c:val>
            <c:numRef>
              <c:f>charts!$F$2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4-4E90-B406-D8EE4ECDF631}"/>
            </c:ext>
          </c:extLst>
        </c:ser>
        <c:ser>
          <c:idx val="1"/>
          <c:order val="1"/>
          <c:tx>
            <c:strRef>
              <c:f>charts!$E$3</c:f>
              <c:strCache>
                <c:ptCount val="1"/>
                <c:pt idx="0">
                  <c:v>Entertainment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charts!$F$1</c:f>
              <c:strCache>
                <c:ptCount val="1"/>
                <c:pt idx="0">
                  <c:v>Hrs</c:v>
                </c:pt>
              </c:strCache>
            </c:strRef>
          </c:cat>
          <c:val>
            <c:numRef>
              <c:f>charts!$F$3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B4-4E90-B406-D8EE4ECDF6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54685839"/>
        <c:axId val="1054693743"/>
      </c:barChart>
      <c:catAx>
        <c:axId val="105468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693743"/>
        <c:crosses val="autoZero"/>
        <c:auto val="1"/>
        <c:lblAlgn val="ctr"/>
        <c:lblOffset val="100"/>
        <c:noMultiLvlLbl val="0"/>
      </c:catAx>
      <c:valAx>
        <c:axId val="105469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68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</c:f>
              <c:strCache>
                <c:ptCount val="1"/>
                <c:pt idx="0">
                  <c:v>AVG. screen time(hrs)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charts!$A$3:$A$6</c:f>
              <c:strCache>
                <c:ptCount val="4"/>
                <c:pt idx="0">
                  <c:v>12 to 22</c:v>
                </c:pt>
                <c:pt idx="1">
                  <c:v>23 to 33</c:v>
                </c:pt>
                <c:pt idx="2">
                  <c:v>45 to 55</c:v>
                </c:pt>
                <c:pt idx="3">
                  <c:v>34 to 44</c:v>
                </c:pt>
              </c:strCache>
            </c:strRef>
          </c:cat>
          <c:val>
            <c:numRef>
              <c:f>charts!$B$3:$B$6</c:f>
              <c:numCache>
                <c:formatCode>0.0</c:formatCode>
                <c:ptCount val="4"/>
                <c:pt idx="0" formatCode="General">
                  <c:v>3</c:v>
                </c:pt>
                <c:pt idx="1">
                  <c:v>2.3333333333333335</c:v>
                </c:pt>
                <c:pt idx="2" formatCode="General">
                  <c:v>3.5</c:v>
                </c:pt>
                <c:pt idx="3" formatCode="General">
                  <c:v>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9A-42C3-B545-F461A0A0FB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2647360"/>
        <c:axId val="47265401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charts!$C$2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charts!$A$3:$A$6</c15:sqref>
                        </c15:formulaRef>
                      </c:ext>
                    </c:extLst>
                    <c:strCache>
                      <c:ptCount val="4"/>
                      <c:pt idx="0">
                        <c:v>12 to 22</c:v>
                      </c:pt>
                      <c:pt idx="1">
                        <c:v>23 to 33</c:v>
                      </c:pt>
                      <c:pt idx="2">
                        <c:v>45 to 55</c:v>
                      </c:pt>
                      <c:pt idx="3">
                        <c:v>34 to 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charts!$C$3:$C$6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19A-42C3-B545-F461A0A0FBF0}"/>
                  </c:ext>
                </c:extLst>
              </c15:ser>
            </c15:filteredBarSeries>
          </c:ext>
        </c:extLst>
      </c:barChart>
      <c:catAx>
        <c:axId val="47264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654016"/>
        <c:crosses val="autoZero"/>
        <c:auto val="1"/>
        <c:lblAlgn val="ctr"/>
        <c:lblOffset val="100"/>
        <c:noMultiLvlLbl val="0"/>
      </c:catAx>
      <c:valAx>
        <c:axId val="47265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64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Devices used most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charts!$L$1</c:f>
              <c:strCache>
                <c:ptCount val="1"/>
                <c:pt idx="0">
                  <c:v>Avg.Screen Time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D4-412A-BDF8-63BABB6682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D4-412A-BDF8-63BABB6682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1D4-412A-BDF8-63BABB6682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1D4-412A-BDF8-63BABB6682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charts!$K$2:$K$5</c:f>
              <c:strCache>
                <c:ptCount val="4"/>
                <c:pt idx="0">
                  <c:v>Mobile</c:v>
                </c:pt>
                <c:pt idx="1">
                  <c:v>Laptop</c:v>
                </c:pt>
                <c:pt idx="2">
                  <c:v>Tablet</c:v>
                </c:pt>
                <c:pt idx="3">
                  <c:v>SmartTV</c:v>
                </c:pt>
              </c:strCache>
            </c:strRef>
          </c:cat>
          <c:val>
            <c:numRef>
              <c:f>charts!$L$2:$L$5</c:f>
              <c:numCache>
                <c:formatCode>General</c:formatCode>
                <c:ptCount val="4"/>
                <c:pt idx="0">
                  <c:v>3.2</c:v>
                </c:pt>
                <c:pt idx="1">
                  <c:v>7.5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0A-456D-B7FF-E62ADFB7E83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14</xdr:row>
      <xdr:rowOff>61913</xdr:rowOff>
    </xdr:from>
    <xdr:to>
      <xdr:col>3</xdr:col>
      <xdr:colOff>285750</xdr:colOff>
      <xdr:row>25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8D495C-76D6-4F5C-9E39-52F7583AB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14</xdr:row>
      <xdr:rowOff>109537</xdr:rowOff>
    </xdr:from>
    <xdr:to>
      <xdr:col>9</xdr:col>
      <xdr:colOff>114300</xdr:colOff>
      <xdr:row>25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6A857C-AA76-4D09-AEEF-5EC5FC7DE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46</xdr:row>
      <xdr:rowOff>147636</xdr:rowOff>
    </xdr:from>
    <xdr:to>
      <xdr:col>3</xdr:col>
      <xdr:colOff>76200</xdr:colOff>
      <xdr:row>59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0DBD6C-62DB-4302-82A5-36A5E8A1C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409575</xdr:colOff>
      <xdr:row>12</xdr:row>
      <xdr:rowOff>147637</xdr:rowOff>
    </xdr:from>
    <xdr:to>
      <xdr:col>8</xdr:col>
      <xdr:colOff>685800</xdr:colOff>
      <xdr:row>23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A630DA-45FA-4D00-BFBD-E5027458A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333374</xdr:colOff>
      <xdr:row>12</xdr:row>
      <xdr:rowOff>166687</xdr:rowOff>
    </xdr:from>
    <xdr:to>
      <xdr:col>8</xdr:col>
      <xdr:colOff>428625</xdr:colOff>
      <xdr:row>21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D56F7D-605D-48C6-9F71-70571C5A0D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12</xdr:row>
      <xdr:rowOff>157162</xdr:rowOff>
    </xdr:from>
    <xdr:to>
      <xdr:col>3</xdr:col>
      <xdr:colOff>1428750</xdr:colOff>
      <xdr:row>21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8023A0-0094-4E9F-BDB3-C49FA5A03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581025</xdr:colOff>
      <xdr:row>12</xdr:row>
      <xdr:rowOff>176212</xdr:rowOff>
    </xdr:from>
    <xdr:to>
      <xdr:col>13</xdr:col>
      <xdr:colOff>600075</xdr:colOff>
      <xdr:row>22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0D9D24-CF59-4ECA-A5BA-19CA238C7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879.778628935186" createdVersion="7" refreshedVersion="7" minRefreshableVersion="3" recordCount="12" xr:uid="{AB075F40-7563-469B-A731-7C726832F218}">
  <cacheSource type="worksheet">
    <worksheetSource name="Table1"/>
  </cacheSource>
  <cacheFields count="11">
    <cacheField name="Name" numFmtId="0">
      <sharedItems containsBlank="1" count="10">
        <s v="N/A"/>
        <s v="Alice"/>
        <s v=" Kamal"/>
        <s v="Paras"/>
        <s v="Dolly"/>
        <s v=" Ramesh"/>
        <s v="Suresh"/>
        <s v="Juilee"/>
        <s v="Sai"/>
        <m/>
      </sharedItems>
    </cacheField>
    <cacheField name="Gender" numFmtId="0">
      <sharedItems containsBlank="1"/>
    </cacheField>
    <cacheField name="Age" numFmtId="0">
      <sharedItems containsBlank="1" count="5">
        <s v="12 to 22"/>
        <s v="23 to 33"/>
        <s v="45 to 55"/>
        <s v="34 to 44"/>
        <m/>
      </sharedItems>
    </cacheField>
    <cacheField name="Family Role" numFmtId="0">
      <sharedItems containsBlank="1"/>
    </cacheField>
    <cacheField name="Occupation" numFmtId="0">
      <sharedItems containsBlank="1" count="7">
        <s v="Student"/>
        <s v="Job Seeker"/>
        <s v="N/A"/>
        <s v="Working"/>
        <s v="HomeMaker"/>
        <s v="Retired"/>
        <m/>
      </sharedItems>
    </cacheField>
    <cacheField name="Screen Time (HRS)" numFmtId="0">
      <sharedItems containsString="0" containsBlank="1" containsNumber="1" containsInteger="1" minValue="2" maxValue="10"/>
    </cacheField>
    <cacheField name="Purpose of Screen Time" numFmtId="0">
      <sharedItems containsBlank="1" count="5">
        <s v="Entertainment"/>
        <s v="Study"/>
        <s v="N/A"/>
        <s v="Work"/>
        <m/>
      </sharedItems>
    </cacheField>
    <cacheField name="Device you used most" numFmtId="0">
      <sharedItems containsBlank="1" count="5">
        <s v="Mobile"/>
        <s v="Laptop"/>
        <s v="Tablet"/>
        <s v="SmartTv"/>
        <m/>
      </sharedItems>
    </cacheField>
    <cacheField name="Used of screen after 9PM" numFmtId="0">
      <sharedItems containsBlank="1"/>
    </cacheField>
    <cacheField name="Too much screen time" numFmtId="0">
      <sharedItems containsBlank="1"/>
    </cacheField>
    <cacheField name="Affects Sleep" numFmtId="0">
      <sharedItems containsMixedTypes="1" containsNumber="1" containsInteger="1" minValue="3" maxValue="3" count="4">
        <s v="No"/>
        <s v="N/A"/>
        <s v="Yes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Female"/>
    <x v="0"/>
    <s v="Child"/>
    <x v="0"/>
    <n v="3"/>
    <x v="0"/>
    <x v="0"/>
    <s v="Yes"/>
    <s v="No"/>
    <x v="0"/>
  </r>
  <r>
    <x v="1"/>
    <s v=" Male"/>
    <x v="1"/>
    <s v=" Sibling"/>
    <x v="1"/>
    <n v="2"/>
    <x v="1"/>
    <x v="1"/>
    <s v="N/A"/>
    <s v="Yes"/>
    <x v="0"/>
  </r>
  <r>
    <x v="2"/>
    <s v="Female"/>
    <x v="2"/>
    <s v="Grandparent"/>
    <x v="2"/>
    <n v="5"/>
    <x v="0"/>
    <x v="0"/>
    <s v="Yes"/>
    <s v="Yes"/>
    <x v="0"/>
  </r>
  <r>
    <x v="3"/>
    <s v=" Male"/>
    <x v="3"/>
    <s v=" Parent"/>
    <x v="3"/>
    <n v="10"/>
    <x v="2"/>
    <x v="1"/>
    <s v="Yes"/>
    <s v="Yes"/>
    <x v="1"/>
  </r>
  <r>
    <x v="4"/>
    <s v="Female"/>
    <x v="3"/>
    <s v="Parent"/>
    <x v="4"/>
    <n v="2"/>
    <x v="0"/>
    <x v="0"/>
    <s v="No"/>
    <s v="No"/>
    <x v="0"/>
  </r>
  <r>
    <x v="0"/>
    <s v="Female"/>
    <x v="1"/>
    <s v="Sibling"/>
    <x v="0"/>
    <n v="3"/>
    <x v="1"/>
    <x v="2"/>
    <s v="Yes"/>
    <s v="N/A"/>
    <x v="1"/>
  </r>
  <r>
    <x v="5"/>
    <s v="Male"/>
    <x v="2"/>
    <s v="Grandparent"/>
    <x v="5"/>
    <n v="2"/>
    <x v="0"/>
    <x v="0"/>
    <s v="No"/>
    <s v="No"/>
    <x v="1"/>
  </r>
  <r>
    <x v="6"/>
    <s v=" Male"/>
    <x v="3"/>
    <s v="Parent"/>
    <x v="3"/>
    <n v="10"/>
    <x v="3"/>
    <x v="1"/>
    <s v="Yes"/>
    <s v="Yes"/>
    <x v="2"/>
  </r>
  <r>
    <x v="7"/>
    <s v="Female"/>
    <x v="3"/>
    <s v="Parent"/>
    <x v="3"/>
    <n v="8"/>
    <x v="3"/>
    <x v="1"/>
    <s v="No"/>
    <s v="N/A"/>
    <x v="2"/>
  </r>
  <r>
    <x v="0"/>
    <s v="Female"/>
    <x v="3"/>
    <s v="Parent"/>
    <x v="4"/>
    <n v="4"/>
    <x v="0"/>
    <x v="0"/>
    <s v="No"/>
    <s v="No"/>
    <x v="2"/>
  </r>
  <r>
    <x v="8"/>
    <s v="Male"/>
    <x v="1"/>
    <s v=" Sibling"/>
    <x v="0"/>
    <n v="2"/>
    <x v="0"/>
    <x v="3"/>
    <s v="Yes"/>
    <s v="Yes"/>
    <x v="0"/>
  </r>
  <r>
    <x v="9"/>
    <m/>
    <x v="4"/>
    <m/>
    <x v="6"/>
    <m/>
    <x v="4"/>
    <x v="4"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DBFFC-D742-4BC7-BD43-F9C6F0BDC024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4:B37" firstHeaderRow="1" firstDataRow="1" firstDataCol="1"/>
  <pivotFields count="11">
    <pivotField showAll="0"/>
    <pivotField showAll="0"/>
    <pivotField showAll="0">
      <items count="6">
        <item x="0"/>
        <item x="1"/>
        <item x="3"/>
        <item x="2"/>
        <item x="4"/>
        <item t="default"/>
      </items>
    </pivotField>
    <pivotField showAll="0"/>
    <pivotField showAll="0">
      <items count="8">
        <item x="4"/>
        <item x="1"/>
        <item x="2"/>
        <item x="5"/>
        <item x="0"/>
        <item x="3"/>
        <item x="6"/>
        <item t="default"/>
      </items>
    </pivotField>
    <pivotField dataField="1" showAll="0"/>
    <pivotField axis="axisRow" showAll="0">
      <items count="6">
        <item x="0"/>
        <item h="1" x="2"/>
        <item h="1" x="1"/>
        <item x="3"/>
        <item h="1" x="4"/>
        <item t="default"/>
      </items>
    </pivotField>
    <pivotField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</pivotFields>
  <rowFields count="1">
    <field x="6"/>
  </rowFields>
  <rowItems count="3">
    <i>
      <x/>
    </i>
    <i>
      <x v="3"/>
    </i>
    <i t="grand">
      <x/>
    </i>
  </rowItems>
  <colItems count="1">
    <i/>
  </colItems>
  <dataFields count="1">
    <dataField name="Sum of Screen Time (HRS)" fld="5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616A1E-8F74-497B-971A-A5D739271BC8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G3:H8" firstHeaderRow="1" firstDataRow="1" firstDataCol="1"/>
  <pivotFields count="11">
    <pivotField showAll="0"/>
    <pivotField showAll="0"/>
    <pivotField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dataField="1" showAll="0"/>
    <pivotField showAll="0"/>
    <pivotField axis="axisRow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creen Time (HRS)" fld="5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F3BA6D-1E2A-4E16-A278-5C5E3CC4C5EB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8" firstHeaderRow="1" firstDataRow="1" firstDataCol="1"/>
  <pivotFields count="11">
    <pivotField showAll="0"/>
    <pivotField showAll="0"/>
    <pivotField axis="axisRow" showAll="0">
      <items count="6">
        <item x="0"/>
        <item x="1"/>
        <item x="3"/>
        <item x="2"/>
        <item h="1"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creen Time (HRS)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31D1D-725C-4D41-ACF1-AA180F303A11}" name="PivotTable1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G34:I45" firstHeaderRow="0" firstDataRow="1" firstDataCol="1"/>
  <pivotFields count="11">
    <pivotField axis="axisRow" showAll="0">
      <items count="11">
        <item x="2"/>
        <item x="5"/>
        <item x="1"/>
        <item x="4"/>
        <item x="7"/>
        <item x="0"/>
        <item x="3"/>
        <item x="8"/>
        <item x="6"/>
        <item x="9"/>
        <item t="default"/>
      </items>
    </pivotField>
    <pivotField showAll="0"/>
    <pivotField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dataField="1" showAll="0"/>
    <pivotField showAll="0"/>
    <pivotField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dataField="1" showAll="0">
      <items count="5">
        <item x="3"/>
        <item x="1"/>
        <item x="0"/>
        <item x="2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creen Time (HRS)" fld="5" baseField="0" baseItem="0"/>
    <dataField name="Count of Affects Sleep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9F1521-E1AD-47E1-80BF-596FB8ACF8C9}" name="Table1" displayName="Table1" ref="A1:K13" totalsRowShown="0">
  <autoFilter ref="A1:K13" xr:uid="{529F1521-E1AD-47E1-80BF-596FB8ACF8C9}"/>
  <tableColumns count="11">
    <tableColumn id="1" xr3:uid="{DECC5F4D-3565-4EF6-8578-A46DA49C5AD2}" name="Name" dataDxfId="1"/>
    <tableColumn id="2" xr3:uid="{F802C9C6-FBB4-4FEE-BE7E-013C71778C4C}" name="Gender" dataDxfId="0"/>
    <tableColumn id="3" xr3:uid="{FC0FB10B-C99A-4E65-89B1-7D9738C24175}" name="Age"/>
    <tableColumn id="4" xr3:uid="{3AA283C2-5567-4177-B43F-70F19F121972}" name="Family Role"/>
    <tableColumn id="5" xr3:uid="{7C44FBCF-7327-450E-9E88-5EF0802E359C}" name="Occupation"/>
    <tableColumn id="6" xr3:uid="{7C136D2F-F7DA-4AE8-A4AC-6778634E62E8}" name="Screen Time (HRS)"/>
    <tableColumn id="7" xr3:uid="{196C59EF-69BA-4083-BA38-3BC6050E2639}" name="Purpose of Screen Time"/>
    <tableColumn id="8" xr3:uid="{C5C0F193-3E5E-4374-9F04-B2B951AB333E}" name="Device you used most"/>
    <tableColumn id="9" xr3:uid="{61A3C3C8-D20B-4D4B-B3BA-5C568E3BAC15}" name="Used of screen after 9PM"/>
    <tableColumn id="10" xr3:uid="{B6532053-968C-43B9-A045-229E084CD401}" name="Too much screen time"/>
    <tableColumn id="11" xr3:uid="{6AE04C41-30EA-4305-A9F4-70F0484789AF}" name="Affects Slee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DF417-9D8E-41F1-A32D-5C597D8CC1BA}">
  <dimension ref="A1:K64"/>
  <sheetViews>
    <sheetView zoomScaleNormal="100" workbookViewId="0">
      <selection activeCell="G41" sqref="G41"/>
    </sheetView>
  </sheetViews>
  <sheetFormatPr defaultRowHeight="15" x14ac:dyDescent="0.25"/>
  <cols>
    <col min="2" max="2" width="9.85546875" customWidth="1"/>
    <col min="4" max="4" width="13.42578125" customWidth="1"/>
    <col min="5" max="5" width="13.140625" customWidth="1"/>
    <col min="6" max="6" width="18.7109375" customWidth="1"/>
    <col min="7" max="7" width="24.7109375" customWidth="1"/>
    <col min="8" max="8" width="24.42578125" customWidth="1"/>
    <col min="9" max="9" width="27.7109375" customWidth="1"/>
    <col min="10" max="10" width="23.140625" customWidth="1"/>
    <col min="11" max="11" width="35.28515625" customWidth="1"/>
  </cols>
  <sheetData>
    <row r="1" spans="1:11" x14ac:dyDescent="0.25">
      <c r="A1" t="s">
        <v>0</v>
      </c>
      <c r="B1" t="s">
        <v>42</v>
      </c>
      <c r="C1" t="s">
        <v>1</v>
      </c>
      <c r="D1" t="s">
        <v>2</v>
      </c>
      <c r="E1" t="s">
        <v>3</v>
      </c>
      <c r="F1" t="s">
        <v>70</v>
      </c>
      <c r="G1" t="s">
        <v>71</v>
      </c>
      <c r="H1" t="s">
        <v>6</v>
      </c>
      <c r="I1" t="s">
        <v>72</v>
      </c>
      <c r="J1" t="s">
        <v>74</v>
      </c>
      <c r="K1" t="s">
        <v>73</v>
      </c>
    </row>
    <row r="2" spans="1:11" x14ac:dyDescent="0.25">
      <c r="A2" s="1" t="s">
        <v>58</v>
      </c>
      <c r="B2" s="1" t="s">
        <v>43</v>
      </c>
      <c r="C2" s="3" t="s">
        <v>84</v>
      </c>
      <c r="D2" t="s">
        <v>63</v>
      </c>
      <c r="E2" t="s">
        <v>32</v>
      </c>
      <c r="F2">
        <v>3</v>
      </c>
      <c r="G2" t="s">
        <v>93</v>
      </c>
      <c r="H2" t="s">
        <v>68</v>
      </c>
      <c r="I2" t="s">
        <v>40</v>
      </c>
      <c r="J2" t="s">
        <v>41</v>
      </c>
      <c r="K2" t="s">
        <v>41</v>
      </c>
    </row>
    <row r="3" spans="1:11" x14ac:dyDescent="0.25">
      <c r="A3" s="1" t="s">
        <v>76</v>
      </c>
      <c r="B3" s="1" t="s">
        <v>44</v>
      </c>
      <c r="C3" t="s">
        <v>85</v>
      </c>
      <c r="D3" t="s">
        <v>65</v>
      </c>
      <c r="E3" t="s">
        <v>61</v>
      </c>
      <c r="F3">
        <v>2</v>
      </c>
      <c r="G3" t="s">
        <v>66</v>
      </c>
      <c r="H3" t="s">
        <v>38</v>
      </c>
      <c r="I3" t="s">
        <v>58</v>
      </c>
      <c r="J3" t="s">
        <v>40</v>
      </c>
      <c r="K3" t="s">
        <v>41</v>
      </c>
    </row>
    <row r="4" spans="1:11" x14ac:dyDescent="0.25">
      <c r="A4" s="1" t="s">
        <v>79</v>
      </c>
      <c r="B4" s="1" t="s">
        <v>43</v>
      </c>
      <c r="C4" t="s">
        <v>83</v>
      </c>
      <c r="D4" t="s">
        <v>64</v>
      </c>
      <c r="E4" t="s">
        <v>58</v>
      </c>
      <c r="F4">
        <v>5</v>
      </c>
      <c r="G4" t="s">
        <v>93</v>
      </c>
      <c r="H4" t="s">
        <v>68</v>
      </c>
      <c r="I4" t="s">
        <v>40</v>
      </c>
      <c r="J4" t="s">
        <v>40</v>
      </c>
      <c r="K4" t="s">
        <v>41</v>
      </c>
    </row>
    <row r="5" spans="1:11" x14ac:dyDescent="0.25">
      <c r="A5" s="1" t="s">
        <v>19</v>
      </c>
      <c r="B5" s="1" t="s">
        <v>44</v>
      </c>
      <c r="C5" t="s">
        <v>86</v>
      </c>
      <c r="D5" t="s">
        <v>47</v>
      </c>
      <c r="E5" t="s">
        <v>59</v>
      </c>
      <c r="F5">
        <v>10</v>
      </c>
      <c r="G5" t="s">
        <v>58</v>
      </c>
      <c r="H5" t="s">
        <v>38</v>
      </c>
      <c r="I5" t="s">
        <v>40</v>
      </c>
      <c r="J5" t="s">
        <v>40</v>
      </c>
      <c r="K5" t="s">
        <v>58</v>
      </c>
    </row>
    <row r="6" spans="1:11" x14ac:dyDescent="0.25">
      <c r="A6" s="1" t="s">
        <v>77</v>
      </c>
      <c r="B6" s="1" t="s">
        <v>43</v>
      </c>
      <c r="C6" t="s">
        <v>86</v>
      </c>
      <c r="D6" t="s">
        <v>30</v>
      </c>
      <c r="E6" t="s">
        <v>60</v>
      </c>
      <c r="F6">
        <v>2</v>
      </c>
      <c r="G6" t="s">
        <v>93</v>
      </c>
      <c r="H6" t="s">
        <v>68</v>
      </c>
      <c r="I6" t="s">
        <v>41</v>
      </c>
      <c r="J6" t="s">
        <v>41</v>
      </c>
      <c r="K6" t="s">
        <v>41</v>
      </c>
    </row>
    <row r="7" spans="1:11" x14ac:dyDescent="0.25">
      <c r="A7" s="1" t="s">
        <v>58</v>
      </c>
      <c r="B7" s="1" t="s">
        <v>43</v>
      </c>
      <c r="C7" t="s">
        <v>85</v>
      </c>
      <c r="D7" t="s">
        <v>31</v>
      </c>
      <c r="E7" t="s">
        <v>32</v>
      </c>
      <c r="F7">
        <v>3</v>
      </c>
      <c r="G7" t="s">
        <v>66</v>
      </c>
      <c r="H7" t="s">
        <v>97</v>
      </c>
      <c r="I7" t="s">
        <v>40</v>
      </c>
      <c r="J7" t="s">
        <v>58</v>
      </c>
      <c r="K7" t="s">
        <v>58</v>
      </c>
    </row>
    <row r="8" spans="1:11" x14ac:dyDescent="0.25">
      <c r="A8" s="1" t="s">
        <v>75</v>
      </c>
      <c r="B8" s="1" t="s">
        <v>45</v>
      </c>
      <c r="C8" t="s">
        <v>83</v>
      </c>
      <c r="D8" t="s">
        <v>64</v>
      </c>
      <c r="E8" t="s">
        <v>62</v>
      </c>
      <c r="F8">
        <v>2</v>
      </c>
      <c r="G8" t="s">
        <v>93</v>
      </c>
      <c r="H8" t="s">
        <v>68</v>
      </c>
      <c r="I8" t="s">
        <v>41</v>
      </c>
      <c r="J8" t="s">
        <v>41</v>
      </c>
      <c r="K8" t="s">
        <v>58</v>
      </c>
    </row>
    <row r="9" spans="1:11" x14ac:dyDescent="0.25">
      <c r="A9" s="1" t="s">
        <v>26</v>
      </c>
      <c r="B9" s="1" t="s">
        <v>44</v>
      </c>
      <c r="C9" t="s">
        <v>86</v>
      </c>
      <c r="D9" t="s">
        <v>30</v>
      </c>
      <c r="E9" t="s">
        <v>59</v>
      </c>
      <c r="F9">
        <v>10</v>
      </c>
      <c r="G9" t="s">
        <v>67</v>
      </c>
      <c r="H9" t="s">
        <v>38</v>
      </c>
      <c r="I9" t="s">
        <v>40</v>
      </c>
      <c r="J9" t="s">
        <v>40</v>
      </c>
      <c r="K9" t="s">
        <v>40</v>
      </c>
    </row>
    <row r="10" spans="1:11" x14ac:dyDescent="0.25">
      <c r="A10" s="1" t="s">
        <v>78</v>
      </c>
      <c r="B10" s="1" t="s">
        <v>43</v>
      </c>
      <c r="C10" t="s">
        <v>86</v>
      </c>
      <c r="D10" t="s">
        <v>30</v>
      </c>
      <c r="E10" t="s">
        <v>59</v>
      </c>
      <c r="F10">
        <v>8</v>
      </c>
      <c r="G10" t="s">
        <v>67</v>
      </c>
      <c r="H10" t="s">
        <v>38</v>
      </c>
      <c r="I10" t="s">
        <v>41</v>
      </c>
      <c r="J10" t="s">
        <v>58</v>
      </c>
      <c r="K10" t="s">
        <v>40</v>
      </c>
    </row>
    <row r="11" spans="1:11" x14ac:dyDescent="0.25">
      <c r="A11" s="1" t="s">
        <v>58</v>
      </c>
      <c r="B11" s="1" t="s">
        <v>43</v>
      </c>
      <c r="C11" t="s">
        <v>86</v>
      </c>
      <c r="D11" t="s">
        <v>30</v>
      </c>
      <c r="E11" t="s">
        <v>60</v>
      </c>
      <c r="F11">
        <v>4</v>
      </c>
      <c r="G11" t="s">
        <v>93</v>
      </c>
      <c r="H11" t="s">
        <v>68</v>
      </c>
      <c r="I11" t="s">
        <v>41</v>
      </c>
      <c r="J11" t="s">
        <v>41</v>
      </c>
      <c r="K11" t="s">
        <v>40</v>
      </c>
    </row>
    <row r="12" spans="1:11" x14ac:dyDescent="0.25">
      <c r="A12" s="1" t="s">
        <v>80</v>
      </c>
      <c r="B12" s="1" t="s">
        <v>45</v>
      </c>
      <c r="C12" t="s">
        <v>85</v>
      </c>
      <c r="D12" t="s">
        <v>65</v>
      </c>
      <c r="E12" t="s">
        <v>32</v>
      </c>
      <c r="F12">
        <v>2</v>
      </c>
      <c r="G12" t="s">
        <v>93</v>
      </c>
      <c r="H12" t="s">
        <v>69</v>
      </c>
      <c r="I12" t="s">
        <v>40</v>
      </c>
      <c r="J12" t="s">
        <v>40</v>
      </c>
      <c r="K12" t="s">
        <v>41</v>
      </c>
    </row>
    <row r="13" spans="1:11" x14ac:dyDescent="0.25">
      <c r="A13" s="1"/>
      <c r="B13" s="1"/>
      <c r="D13" s="11"/>
      <c r="E13" s="23"/>
      <c r="F13" s="11"/>
      <c r="K13">
        <f>COUNTIF(K2:K12,"yes")</f>
        <v>3</v>
      </c>
    </row>
    <row r="14" spans="1:11" x14ac:dyDescent="0.25">
      <c r="C14" s="2"/>
      <c r="K14">
        <f>COUNTIF(K2:K12,"no")</f>
        <v>5</v>
      </c>
    </row>
    <row r="19" spans="5:10" x14ac:dyDescent="0.25">
      <c r="I19" s="18" t="s">
        <v>101</v>
      </c>
    </row>
    <row r="20" spans="5:10" ht="15.75" x14ac:dyDescent="0.25">
      <c r="E20" s="4"/>
      <c r="F20" s="5" t="s">
        <v>81</v>
      </c>
      <c r="G20" s="4"/>
    </row>
    <row r="21" spans="5:10" x14ac:dyDescent="0.25">
      <c r="E21" s="6" t="s">
        <v>82</v>
      </c>
      <c r="F21" s="6" t="s">
        <v>94</v>
      </c>
      <c r="G21" s="4"/>
      <c r="I21" s="4"/>
      <c r="J21" s="4"/>
    </row>
    <row r="22" spans="5:10" x14ac:dyDescent="0.25">
      <c r="E22" s="7" t="s">
        <v>84</v>
      </c>
      <c r="F22" s="4">
        <f>AVERAGEIF(Table1[Age],E22,Table1[Screen Time (HRS)])</f>
        <v>3</v>
      </c>
      <c r="G22" s="4"/>
      <c r="I22" s="6" t="s">
        <v>87</v>
      </c>
      <c r="J22" s="4">
        <f>COUNTIF(Table1[Used of screen after 9PM],"YES")</f>
        <v>6</v>
      </c>
    </row>
    <row r="23" spans="5:10" x14ac:dyDescent="0.25">
      <c r="E23" s="8" t="s">
        <v>85</v>
      </c>
      <c r="F23" s="10">
        <f>AVERAGEIF(Table1[Age],E23,Table1[Screen Time (HRS)])</f>
        <v>2.3333333333333335</v>
      </c>
      <c r="G23" s="4"/>
      <c r="I23" s="6" t="s">
        <v>88</v>
      </c>
      <c r="J23" s="4">
        <f>COUNTIF(Table1[Used of screen after 9PM],"NO")</f>
        <v>4</v>
      </c>
    </row>
    <row r="24" spans="5:10" x14ac:dyDescent="0.25">
      <c r="E24" s="9" t="s">
        <v>83</v>
      </c>
      <c r="F24" s="4">
        <f>AVERAGEIF(Table1[Age],E24,Table1[Screen Time (HRS)])</f>
        <v>3.5</v>
      </c>
      <c r="G24" s="4"/>
      <c r="I24" s="4"/>
      <c r="J24" s="4"/>
    </row>
    <row r="25" spans="5:10" x14ac:dyDescent="0.25">
      <c r="E25" s="8" t="s">
        <v>86</v>
      </c>
      <c r="F25" s="4">
        <f>AVERAGEIF(Table1[Age],E25,Table1[Screen Time (HRS)])</f>
        <v>6.8</v>
      </c>
      <c r="G25" s="4"/>
      <c r="I25" s="4"/>
      <c r="J25" s="4"/>
    </row>
    <row r="26" spans="5:10" x14ac:dyDescent="0.25">
      <c r="F26" s="11"/>
      <c r="G26" s="11"/>
      <c r="I26" s="4"/>
      <c r="J26" s="4"/>
    </row>
    <row r="27" spans="5:10" x14ac:dyDescent="0.25">
      <c r="F27" s="11"/>
      <c r="G27" s="11"/>
      <c r="I27" s="6" t="s">
        <v>89</v>
      </c>
      <c r="J27" s="4">
        <f>COUNTIF(Table1[Affects Sleep],"YES")</f>
        <v>3</v>
      </c>
    </row>
    <row r="28" spans="5:10" x14ac:dyDescent="0.25">
      <c r="F28" s="11"/>
      <c r="G28" s="11"/>
      <c r="I28" s="6" t="s">
        <v>90</v>
      </c>
      <c r="J28" s="4">
        <f>COUNTIF(Table1[Affects Sleep],"NO")</f>
        <v>5</v>
      </c>
    </row>
    <row r="29" spans="5:10" ht="18.75" x14ac:dyDescent="0.3">
      <c r="E29" s="21" t="s">
        <v>102</v>
      </c>
      <c r="F29" s="11"/>
      <c r="G29" s="11"/>
      <c r="I29" s="4"/>
      <c r="J29" s="4"/>
    </row>
    <row r="30" spans="5:10" ht="15.75" thickBot="1" x14ac:dyDescent="0.3">
      <c r="F30" s="11"/>
      <c r="G30" s="11"/>
      <c r="I30" s="4"/>
      <c r="J30" s="4"/>
    </row>
    <row r="31" spans="5:10" x14ac:dyDescent="0.25">
      <c r="E31" s="19"/>
      <c r="F31" s="20"/>
      <c r="G31" s="11"/>
      <c r="I31" s="6" t="s">
        <v>91</v>
      </c>
      <c r="J31" s="4">
        <f>COUNTIF(Table1[Purpose of Screen Time],"work")</f>
        <v>2</v>
      </c>
    </row>
    <row r="32" spans="5:10" x14ac:dyDescent="0.25">
      <c r="E32" s="22" t="s">
        <v>93</v>
      </c>
      <c r="F32" s="15">
        <f>SUMIF(Table1[Purpose of Screen Time],G2,Table1[Screen Time (HRS)])</f>
        <v>18</v>
      </c>
      <c r="G32" s="11"/>
      <c r="I32" s="6" t="s">
        <v>92</v>
      </c>
      <c r="J32" s="4">
        <f>COUNTIF(Table1[Purpose of Screen Time],"entertainment")</f>
        <v>6</v>
      </c>
    </row>
    <row r="33" spans="5:10" x14ac:dyDescent="0.25">
      <c r="E33" s="22" t="s">
        <v>67</v>
      </c>
      <c r="F33" s="15">
        <f>SUMIF(Table1[Purpose of Screen Time],G9,Table1[Screen Time (HRS)])</f>
        <v>18</v>
      </c>
      <c r="I33" s="4"/>
      <c r="J33" s="4"/>
    </row>
    <row r="34" spans="5:10" ht="15.75" thickBot="1" x14ac:dyDescent="0.3">
      <c r="E34" s="16"/>
      <c r="F34" s="17"/>
    </row>
    <row r="39" spans="5:10" ht="18.75" x14ac:dyDescent="0.3">
      <c r="E39" s="21" t="s">
        <v>107</v>
      </c>
    </row>
    <row r="42" spans="5:10" x14ac:dyDescent="0.25">
      <c r="E42" t="s">
        <v>98</v>
      </c>
    </row>
    <row r="43" spans="5:10" x14ac:dyDescent="0.25">
      <c r="E43" t="s">
        <v>68</v>
      </c>
    </row>
    <row r="44" spans="5:10" x14ac:dyDescent="0.25">
      <c r="E44" t="s">
        <v>38</v>
      </c>
    </row>
    <row r="45" spans="5:10" x14ac:dyDescent="0.25">
      <c r="E45" t="s">
        <v>97</v>
      </c>
    </row>
    <row r="46" spans="5:10" x14ac:dyDescent="0.25">
      <c r="E46" t="s">
        <v>69</v>
      </c>
    </row>
    <row r="48" spans="5:10" ht="15.75" thickBot="1" x14ac:dyDescent="0.3"/>
    <row r="49" spans="4:7" x14ac:dyDescent="0.25">
      <c r="D49" s="19"/>
      <c r="E49" s="26"/>
      <c r="F49" s="26"/>
      <c r="G49" s="20"/>
    </row>
    <row r="50" spans="4:7" x14ac:dyDescent="0.25">
      <c r="D50" s="14"/>
      <c r="E50" s="11" t="s">
        <v>108</v>
      </c>
      <c r="F50" s="11"/>
      <c r="G50" s="15"/>
    </row>
    <row r="51" spans="4:7" x14ac:dyDescent="0.25">
      <c r="D51" s="14"/>
      <c r="E51" s="11"/>
      <c r="F51" s="11"/>
      <c r="G51" s="15"/>
    </row>
    <row r="52" spans="4:7" x14ac:dyDescent="0.25">
      <c r="D52" s="27" t="s">
        <v>0</v>
      </c>
      <c r="E52" s="11" t="s">
        <v>109</v>
      </c>
      <c r="F52" s="11"/>
      <c r="G52" s="15"/>
    </row>
    <row r="53" spans="4:7" x14ac:dyDescent="0.25">
      <c r="D53" s="28" t="s">
        <v>58</v>
      </c>
      <c r="E53" s="11">
        <f>IF(K2="yes",1,0)</f>
        <v>0</v>
      </c>
      <c r="F53" s="11"/>
      <c r="G53" s="15"/>
    </row>
    <row r="54" spans="4:7" x14ac:dyDescent="0.25">
      <c r="D54" s="29" t="s">
        <v>76</v>
      </c>
      <c r="E54" s="11">
        <f t="shared" ref="E54:E63" si="0">IF(K3="yes",1,0)</f>
        <v>0</v>
      </c>
      <c r="F54" s="11"/>
      <c r="G54" s="15"/>
    </row>
    <row r="55" spans="4:7" x14ac:dyDescent="0.25">
      <c r="D55" s="28" t="s">
        <v>79</v>
      </c>
      <c r="E55" s="11">
        <f t="shared" si="0"/>
        <v>0</v>
      </c>
      <c r="F55" s="11"/>
      <c r="G55" s="15"/>
    </row>
    <row r="56" spans="4:7" x14ac:dyDescent="0.25">
      <c r="D56" s="29" t="s">
        <v>19</v>
      </c>
      <c r="E56" s="11">
        <f t="shared" si="0"/>
        <v>0</v>
      </c>
      <c r="F56" s="11"/>
      <c r="G56" s="15"/>
    </row>
    <row r="57" spans="4:7" x14ac:dyDescent="0.25">
      <c r="D57" s="28" t="s">
        <v>77</v>
      </c>
      <c r="E57" s="11">
        <f t="shared" si="0"/>
        <v>0</v>
      </c>
      <c r="F57" s="11"/>
      <c r="G57" s="15"/>
    </row>
    <row r="58" spans="4:7" x14ac:dyDescent="0.25">
      <c r="D58" s="29" t="s">
        <v>58</v>
      </c>
      <c r="E58" s="11">
        <f t="shared" si="0"/>
        <v>0</v>
      </c>
      <c r="F58" s="11"/>
      <c r="G58" s="15"/>
    </row>
    <row r="59" spans="4:7" x14ac:dyDescent="0.25">
      <c r="D59" s="28" t="s">
        <v>75</v>
      </c>
      <c r="E59" s="11">
        <f t="shared" si="0"/>
        <v>0</v>
      </c>
      <c r="F59" s="11"/>
      <c r="G59" s="15"/>
    </row>
    <row r="60" spans="4:7" x14ac:dyDescent="0.25">
      <c r="D60" s="29" t="s">
        <v>26</v>
      </c>
      <c r="E60" s="11">
        <f t="shared" si="0"/>
        <v>1</v>
      </c>
      <c r="F60" s="11"/>
      <c r="G60" s="15"/>
    </row>
    <row r="61" spans="4:7" x14ac:dyDescent="0.25">
      <c r="D61" s="28" t="s">
        <v>78</v>
      </c>
      <c r="E61" s="11">
        <f t="shared" si="0"/>
        <v>1</v>
      </c>
      <c r="F61" s="11"/>
      <c r="G61" s="15"/>
    </row>
    <row r="62" spans="4:7" x14ac:dyDescent="0.25">
      <c r="D62" s="29" t="s">
        <v>58</v>
      </c>
      <c r="E62" s="11">
        <f t="shared" si="0"/>
        <v>1</v>
      </c>
      <c r="F62" s="11"/>
      <c r="G62" s="15"/>
    </row>
    <row r="63" spans="4:7" x14ac:dyDescent="0.25">
      <c r="D63" s="28" t="s">
        <v>80</v>
      </c>
      <c r="E63" s="11">
        <f t="shared" si="0"/>
        <v>0</v>
      </c>
      <c r="F63" s="11"/>
      <c r="G63" s="15"/>
    </row>
    <row r="64" spans="4:7" ht="15.75" thickBot="1" x14ac:dyDescent="0.3">
      <c r="D64" s="16"/>
      <c r="E64" s="30"/>
      <c r="F64" s="30"/>
      <c r="G64" s="17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A00E8-D8AD-4A02-945E-2BE786570AFD}">
  <dimension ref="A3:I48"/>
  <sheetViews>
    <sheetView topLeftCell="A41" workbookViewId="0">
      <selection activeCell="G48" sqref="G48"/>
    </sheetView>
  </sheetViews>
  <sheetFormatPr defaultRowHeight="15" x14ac:dyDescent="0.25"/>
  <cols>
    <col min="1" max="1" width="14" bestFit="1" customWidth="1"/>
    <col min="2" max="2" width="24.140625" bestFit="1" customWidth="1"/>
    <col min="7" max="7" width="13.140625" bestFit="1" customWidth="1"/>
    <col min="8" max="8" width="24.140625" bestFit="1" customWidth="1"/>
    <col min="9" max="9" width="21" bestFit="1" customWidth="1"/>
  </cols>
  <sheetData>
    <row r="3" spans="1:8" x14ac:dyDescent="0.25">
      <c r="A3" s="25" t="s">
        <v>104</v>
      </c>
      <c r="B3" t="s">
        <v>103</v>
      </c>
      <c r="G3" s="25" t="s">
        <v>104</v>
      </c>
      <c r="H3" t="s">
        <v>103</v>
      </c>
    </row>
    <row r="4" spans="1:8" x14ac:dyDescent="0.25">
      <c r="A4" s="1" t="s">
        <v>84</v>
      </c>
      <c r="B4" s="24">
        <v>3</v>
      </c>
      <c r="G4" s="1" t="s">
        <v>38</v>
      </c>
      <c r="H4" s="24">
        <v>30</v>
      </c>
    </row>
    <row r="5" spans="1:8" x14ac:dyDescent="0.25">
      <c r="A5" s="1" t="s">
        <v>85</v>
      </c>
      <c r="B5" s="24">
        <v>7</v>
      </c>
      <c r="G5" s="1" t="s">
        <v>68</v>
      </c>
      <c r="H5" s="24">
        <v>16</v>
      </c>
    </row>
    <row r="6" spans="1:8" x14ac:dyDescent="0.25">
      <c r="A6" s="1" t="s">
        <v>86</v>
      </c>
      <c r="B6" s="24">
        <v>34</v>
      </c>
      <c r="G6" s="1" t="s">
        <v>69</v>
      </c>
      <c r="H6" s="24">
        <v>2</v>
      </c>
    </row>
    <row r="7" spans="1:8" x14ac:dyDescent="0.25">
      <c r="A7" s="1" t="s">
        <v>83</v>
      </c>
      <c r="B7" s="24">
        <v>7</v>
      </c>
      <c r="G7" s="1" t="s">
        <v>97</v>
      </c>
      <c r="H7" s="24">
        <v>3</v>
      </c>
    </row>
    <row r="8" spans="1:8" x14ac:dyDescent="0.25">
      <c r="A8" s="1" t="s">
        <v>106</v>
      </c>
      <c r="B8" s="24">
        <v>51</v>
      </c>
      <c r="G8" s="1" t="s">
        <v>106</v>
      </c>
      <c r="H8" s="24">
        <v>51</v>
      </c>
    </row>
    <row r="34" spans="1:9" x14ac:dyDescent="0.25">
      <c r="A34" s="25" t="s">
        <v>104</v>
      </c>
      <c r="B34" t="s">
        <v>103</v>
      </c>
      <c r="G34" s="25" t="s">
        <v>104</v>
      </c>
      <c r="H34" t="s">
        <v>103</v>
      </c>
      <c r="I34" t="s">
        <v>110</v>
      </c>
    </row>
    <row r="35" spans="1:9" x14ac:dyDescent="0.25">
      <c r="A35" s="1" t="s">
        <v>93</v>
      </c>
      <c r="B35" s="24">
        <v>18</v>
      </c>
      <c r="G35" s="1" t="s">
        <v>79</v>
      </c>
      <c r="H35" s="24">
        <v>5</v>
      </c>
      <c r="I35" s="24">
        <v>1</v>
      </c>
    </row>
    <row r="36" spans="1:9" x14ac:dyDescent="0.25">
      <c r="A36" s="1" t="s">
        <v>67</v>
      </c>
      <c r="B36" s="24">
        <v>18</v>
      </c>
      <c r="G36" s="1" t="s">
        <v>75</v>
      </c>
      <c r="H36" s="24">
        <v>2</v>
      </c>
      <c r="I36" s="24">
        <v>1</v>
      </c>
    </row>
    <row r="37" spans="1:9" x14ac:dyDescent="0.25">
      <c r="A37" s="1" t="s">
        <v>106</v>
      </c>
      <c r="B37" s="24">
        <v>36</v>
      </c>
      <c r="G37" s="1" t="s">
        <v>76</v>
      </c>
      <c r="H37" s="24">
        <v>2</v>
      </c>
      <c r="I37" s="24">
        <v>1</v>
      </c>
    </row>
    <row r="38" spans="1:9" x14ac:dyDescent="0.25">
      <c r="G38" s="1" t="s">
        <v>77</v>
      </c>
      <c r="H38" s="24">
        <v>2</v>
      </c>
      <c r="I38" s="24">
        <v>1</v>
      </c>
    </row>
    <row r="39" spans="1:9" x14ac:dyDescent="0.25">
      <c r="G39" s="1" t="s">
        <v>78</v>
      </c>
      <c r="H39" s="24">
        <v>8</v>
      </c>
      <c r="I39" s="24">
        <v>1</v>
      </c>
    </row>
    <row r="40" spans="1:9" x14ac:dyDescent="0.25">
      <c r="G40" s="1" t="s">
        <v>58</v>
      </c>
      <c r="H40" s="24">
        <v>10</v>
      </c>
      <c r="I40" s="24">
        <v>3</v>
      </c>
    </row>
    <row r="41" spans="1:9" x14ac:dyDescent="0.25">
      <c r="G41" s="1" t="s">
        <v>19</v>
      </c>
      <c r="H41" s="24">
        <v>10</v>
      </c>
      <c r="I41" s="24">
        <v>1</v>
      </c>
    </row>
    <row r="42" spans="1:9" x14ac:dyDescent="0.25">
      <c r="G42" s="1" t="s">
        <v>80</v>
      </c>
      <c r="H42" s="24">
        <v>2</v>
      </c>
      <c r="I42" s="24">
        <v>1</v>
      </c>
    </row>
    <row r="43" spans="1:9" x14ac:dyDescent="0.25">
      <c r="G43" s="1" t="s">
        <v>26</v>
      </c>
      <c r="H43" s="24">
        <v>10</v>
      </c>
      <c r="I43" s="24">
        <v>1</v>
      </c>
    </row>
    <row r="44" spans="1:9" x14ac:dyDescent="0.25">
      <c r="G44" s="1" t="s">
        <v>105</v>
      </c>
      <c r="H44" s="24"/>
      <c r="I44" s="24">
        <v>1</v>
      </c>
    </row>
    <row r="45" spans="1:9" x14ac:dyDescent="0.25">
      <c r="G45" s="1" t="s">
        <v>106</v>
      </c>
      <c r="H45" s="24">
        <v>51</v>
      </c>
      <c r="I45" s="24">
        <v>12</v>
      </c>
    </row>
    <row r="48" spans="1:9" x14ac:dyDescent="0.25">
      <c r="G48" s="1"/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A049A-4051-4DA3-A87C-6B26FA7A58A9}">
  <dimension ref="A1:K37"/>
  <sheetViews>
    <sheetView workbookViewId="0">
      <selection activeCell="D18" sqref="D18"/>
    </sheetView>
  </sheetViews>
  <sheetFormatPr defaultRowHeight="15" x14ac:dyDescent="0.25"/>
  <cols>
    <col min="3" max="3" width="7.28515625" customWidth="1"/>
    <col min="4" max="4" width="13.85546875" customWidth="1"/>
    <col min="5" max="5" width="12.85546875" customWidth="1"/>
    <col min="6" max="6" width="24.7109375" customWidth="1"/>
    <col min="7" max="7" width="16.140625" customWidth="1"/>
    <col min="8" max="8" width="21" customWidth="1"/>
    <col min="9" max="9" width="27.5703125" customWidth="1"/>
    <col min="10" max="10" width="33.140625" customWidth="1"/>
    <col min="11" max="11" width="23.140625" customWidth="1"/>
    <col min="12" max="12" width="43" customWidth="1"/>
  </cols>
  <sheetData>
    <row r="1" spans="1:11" x14ac:dyDescent="0.25">
      <c r="A1" t="s">
        <v>0</v>
      </c>
      <c r="B1" t="s">
        <v>42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1"/>
      <c r="B2" s="1" t="s">
        <v>43</v>
      </c>
      <c r="C2">
        <v>12</v>
      </c>
      <c r="D2" t="s">
        <v>10</v>
      </c>
      <c r="E2" t="s">
        <v>11</v>
      </c>
      <c r="F2">
        <v>3</v>
      </c>
      <c r="G2" t="s">
        <v>12</v>
      </c>
      <c r="H2" t="s">
        <v>24</v>
      </c>
      <c r="I2" t="s">
        <v>40</v>
      </c>
      <c r="J2" t="s">
        <v>41</v>
      </c>
      <c r="K2" t="s">
        <v>41</v>
      </c>
    </row>
    <row r="3" spans="1:11" x14ac:dyDescent="0.25">
      <c r="A3" s="1" t="s">
        <v>14</v>
      </c>
      <c r="B3" s="1" t="s">
        <v>44</v>
      </c>
      <c r="C3">
        <v>25</v>
      </c>
      <c r="D3" t="s">
        <v>46</v>
      </c>
      <c r="E3" t="s">
        <v>15</v>
      </c>
      <c r="F3">
        <v>2</v>
      </c>
      <c r="G3" t="s">
        <v>16</v>
      </c>
      <c r="H3" t="s">
        <v>21</v>
      </c>
      <c r="I3" t="s">
        <v>13</v>
      </c>
      <c r="J3" t="s">
        <v>40</v>
      </c>
      <c r="K3" t="s">
        <v>41</v>
      </c>
    </row>
    <row r="4" spans="1:11" x14ac:dyDescent="0.25">
      <c r="A4" s="1" t="s">
        <v>55</v>
      </c>
      <c r="B4" s="1" t="s">
        <v>43</v>
      </c>
      <c r="C4">
        <v>51</v>
      </c>
      <c r="D4" t="s">
        <v>17</v>
      </c>
      <c r="E4" t="s">
        <v>51</v>
      </c>
      <c r="F4">
        <v>5</v>
      </c>
      <c r="G4" t="s">
        <v>18</v>
      </c>
      <c r="H4" t="s">
        <v>24</v>
      </c>
      <c r="I4" t="s">
        <v>40</v>
      </c>
      <c r="J4" t="s">
        <v>40</v>
      </c>
      <c r="K4" t="s">
        <v>41</v>
      </c>
    </row>
    <row r="5" spans="1:11" x14ac:dyDescent="0.25">
      <c r="A5" s="1" t="s">
        <v>19</v>
      </c>
      <c r="B5" s="1" t="s">
        <v>44</v>
      </c>
      <c r="C5">
        <v>35</v>
      </c>
      <c r="D5" t="s">
        <v>47</v>
      </c>
      <c r="E5" t="s">
        <v>20</v>
      </c>
      <c r="F5">
        <v>10</v>
      </c>
      <c r="H5" t="s">
        <v>21</v>
      </c>
      <c r="I5" t="s">
        <v>40</v>
      </c>
      <c r="J5" t="s">
        <v>40</v>
      </c>
    </row>
    <row r="6" spans="1:11" x14ac:dyDescent="0.25">
      <c r="A6" s="1" t="s">
        <v>56</v>
      </c>
      <c r="B6" s="1" t="s">
        <v>43</v>
      </c>
      <c r="C6">
        <v>42</v>
      </c>
      <c r="D6" t="s">
        <v>48</v>
      </c>
      <c r="E6" t="s">
        <v>22</v>
      </c>
      <c r="F6">
        <v>2</v>
      </c>
      <c r="G6" t="s">
        <v>23</v>
      </c>
      <c r="H6" t="s">
        <v>24</v>
      </c>
      <c r="I6" t="s">
        <v>41</v>
      </c>
      <c r="J6" t="s">
        <v>41</v>
      </c>
      <c r="K6" t="s">
        <v>41</v>
      </c>
    </row>
    <row r="7" spans="1:11" x14ac:dyDescent="0.25">
      <c r="A7" s="1" t="s">
        <v>25</v>
      </c>
      <c r="B7" s="1" t="s">
        <v>43</v>
      </c>
      <c r="C7">
        <v>22</v>
      </c>
      <c r="D7" t="s">
        <v>11</v>
      </c>
      <c r="E7" t="s">
        <v>32</v>
      </c>
      <c r="F7">
        <v>3</v>
      </c>
      <c r="G7" t="s">
        <v>33</v>
      </c>
      <c r="H7" t="s">
        <v>37</v>
      </c>
      <c r="I7" t="s">
        <v>40</v>
      </c>
      <c r="K7" t="s">
        <v>53</v>
      </c>
    </row>
    <row r="8" spans="1:11" x14ac:dyDescent="0.25">
      <c r="A8" s="1" t="s">
        <v>57</v>
      </c>
      <c r="B8" s="1" t="s">
        <v>45</v>
      </c>
      <c r="C8">
        <v>55</v>
      </c>
      <c r="D8" t="s">
        <v>17</v>
      </c>
      <c r="E8" t="s">
        <v>29</v>
      </c>
      <c r="F8">
        <v>2</v>
      </c>
      <c r="G8" t="s">
        <v>34</v>
      </c>
      <c r="H8" t="s">
        <v>24</v>
      </c>
      <c r="I8" t="s">
        <v>41</v>
      </c>
      <c r="J8" t="s">
        <v>41</v>
      </c>
      <c r="K8" t="s">
        <v>25</v>
      </c>
    </row>
    <row r="9" spans="1:11" x14ac:dyDescent="0.25">
      <c r="A9" s="1" t="s">
        <v>26</v>
      </c>
      <c r="B9" s="1" t="s">
        <v>44</v>
      </c>
      <c r="C9">
        <v>48</v>
      </c>
      <c r="D9" t="s">
        <v>30</v>
      </c>
      <c r="E9" t="s">
        <v>52</v>
      </c>
      <c r="F9">
        <v>10</v>
      </c>
      <c r="G9" t="s">
        <v>35</v>
      </c>
      <c r="H9" t="s">
        <v>38</v>
      </c>
      <c r="I9" t="s">
        <v>40</v>
      </c>
      <c r="J9" t="s">
        <v>40</v>
      </c>
      <c r="K9" t="s">
        <v>54</v>
      </c>
    </row>
    <row r="10" spans="1:11" x14ac:dyDescent="0.25">
      <c r="A10" s="1" t="s">
        <v>27</v>
      </c>
      <c r="B10" s="1" t="s">
        <v>43</v>
      </c>
      <c r="C10">
        <v>35</v>
      </c>
      <c r="D10" t="s">
        <v>49</v>
      </c>
      <c r="E10" t="s">
        <v>20</v>
      </c>
      <c r="F10">
        <v>8</v>
      </c>
      <c r="G10" t="s">
        <v>36</v>
      </c>
      <c r="H10" t="s">
        <v>21</v>
      </c>
      <c r="I10" t="s">
        <v>41</v>
      </c>
      <c r="J10" t="s">
        <v>51</v>
      </c>
      <c r="K10" t="s">
        <v>54</v>
      </c>
    </row>
    <row r="11" spans="1:11" x14ac:dyDescent="0.25">
      <c r="A11" s="1"/>
      <c r="B11" s="1" t="s">
        <v>43</v>
      </c>
      <c r="C11">
        <v>40</v>
      </c>
      <c r="D11" t="s">
        <v>30</v>
      </c>
      <c r="E11" t="s">
        <v>22</v>
      </c>
      <c r="F11">
        <v>4</v>
      </c>
      <c r="G11" t="s">
        <v>50</v>
      </c>
      <c r="H11" t="s">
        <v>24</v>
      </c>
      <c r="I11" t="s">
        <v>41</v>
      </c>
      <c r="J11" t="s">
        <v>41</v>
      </c>
      <c r="K11" t="s">
        <v>54</v>
      </c>
    </row>
    <row r="12" spans="1:11" x14ac:dyDescent="0.25">
      <c r="A12" s="1" t="s">
        <v>28</v>
      </c>
      <c r="B12" s="1" t="s">
        <v>45</v>
      </c>
      <c r="C12">
        <v>24</v>
      </c>
      <c r="D12" t="s">
        <v>31</v>
      </c>
      <c r="E12" t="s">
        <v>32</v>
      </c>
      <c r="F12">
        <v>2</v>
      </c>
      <c r="G12" t="s">
        <v>23</v>
      </c>
      <c r="H12" t="s">
        <v>39</v>
      </c>
      <c r="I12" t="s">
        <v>40</v>
      </c>
      <c r="J12" t="s">
        <v>40</v>
      </c>
      <c r="K12" t="s">
        <v>41</v>
      </c>
    </row>
    <row r="27" spans="2:6" x14ac:dyDescent="0.25">
      <c r="B27" t="s">
        <v>0</v>
      </c>
      <c r="F27" t="s">
        <v>0</v>
      </c>
    </row>
    <row r="28" spans="2:6" x14ac:dyDescent="0.25">
      <c r="B28" t="s">
        <v>42</v>
      </c>
      <c r="F28" t="s">
        <v>42</v>
      </c>
    </row>
    <row r="29" spans="2:6" x14ac:dyDescent="0.25">
      <c r="B29" t="s">
        <v>1</v>
      </c>
      <c r="F29" t="s">
        <v>1</v>
      </c>
    </row>
    <row r="30" spans="2:6" x14ac:dyDescent="0.25">
      <c r="B30" t="s">
        <v>2</v>
      </c>
      <c r="F30" t="s">
        <v>2</v>
      </c>
    </row>
    <row r="31" spans="2:6" x14ac:dyDescent="0.25">
      <c r="B31" t="s">
        <v>3</v>
      </c>
      <c r="F31" t="s">
        <v>3</v>
      </c>
    </row>
    <row r="32" spans="2:6" x14ac:dyDescent="0.25">
      <c r="B32" t="s">
        <v>4</v>
      </c>
      <c r="F32" t="s">
        <v>70</v>
      </c>
    </row>
    <row r="33" spans="2:6" x14ac:dyDescent="0.25">
      <c r="B33" t="s">
        <v>5</v>
      </c>
      <c r="F33" t="s">
        <v>71</v>
      </c>
    </row>
    <row r="34" spans="2:6" x14ac:dyDescent="0.25">
      <c r="B34" t="s">
        <v>6</v>
      </c>
      <c r="F34" t="s">
        <v>6</v>
      </c>
    </row>
    <row r="35" spans="2:6" x14ac:dyDescent="0.25">
      <c r="B35" t="s">
        <v>7</v>
      </c>
      <c r="F35" t="s">
        <v>72</v>
      </c>
    </row>
    <row r="36" spans="2:6" x14ac:dyDescent="0.25">
      <c r="B36" t="s">
        <v>8</v>
      </c>
      <c r="F36" t="s">
        <v>74</v>
      </c>
    </row>
    <row r="37" spans="2:6" x14ac:dyDescent="0.25">
      <c r="B37" t="s">
        <v>9</v>
      </c>
      <c r="F37" t="s">
        <v>73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1B358-0CB6-43FB-8A0C-6975CDE526FE}">
  <dimension ref="A1:L6"/>
  <sheetViews>
    <sheetView tabSelected="1" workbookViewId="0">
      <selection activeCell="C8" sqref="C8"/>
    </sheetView>
  </sheetViews>
  <sheetFormatPr defaultRowHeight="15" x14ac:dyDescent="0.25"/>
  <cols>
    <col min="3" max="3" width="12" customWidth="1"/>
    <col min="4" max="4" width="21.5703125" customWidth="1"/>
    <col min="5" max="5" width="14.5703125" customWidth="1"/>
    <col min="12" max="12" width="18.5703125" customWidth="1"/>
  </cols>
  <sheetData>
    <row r="1" spans="1:12" ht="15.75" x14ac:dyDescent="0.25">
      <c r="A1" s="4"/>
      <c r="B1" s="5" t="s">
        <v>81</v>
      </c>
      <c r="C1" s="4"/>
      <c r="E1" s="6" t="s">
        <v>96</v>
      </c>
      <c r="F1" s="6" t="s">
        <v>95</v>
      </c>
      <c r="K1" s="12" t="s">
        <v>98</v>
      </c>
      <c r="L1" s="13" t="s">
        <v>99</v>
      </c>
    </row>
    <row r="2" spans="1:12" x14ac:dyDescent="0.25">
      <c r="A2" s="6" t="s">
        <v>82</v>
      </c>
      <c r="B2" s="6" t="s">
        <v>94</v>
      </c>
      <c r="C2" s="4"/>
      <c r="E2" s="4" t="s">
        <v>67</v>
      </c>
      <c r="F2" s="4">
        <v>18</v>
      </c>
      <c r="K2" s="14" t="s">
        <v>68</v>
      </c>
      <c r="L2" s="15">
        <f>AVERAGEIF(cleaned_data!$H$2:$H$12,K2,cleaned_data!$F$2:$F$12)</f>
        <v>3.2</v>
      </c>
    </row>
    <row r="3" spans="1:12" x14ac:dyDescent="0.25">
      <c r="A3" s="7" t="s">
        <v>84</v>
      </c>
      <c r="B3" s="4">
        <f>AVERAGEIF(Table1[Age],A3,Table1[Screen Time (HRS)])</f>
        <v>3</v>
      </c>
      <c r="C3" s="4"/>
      <c r="E3" s="4" t="s">
        <v>93</v>
      </c>
      <c r="F3" s="4">
        <v>18</v>
      </c>
      <c r="K3" s="14" t="s">
        <v>38</v>
      </c>
      <c r="L3" s="15">
        <f>AVERAGEIF(cleaned_data!$H$2:$H$12,K3,cleaned_data!$F$2:$F$12)</f>
        <v>7.5</v>
      </c>
    </row>
    <row r="4" spans="1:12" x14ac:dyDescent="0.25">
      <c r="A4" s="8" t="s">
        <v>85</v>
      </c>
      <c r="B4" s="10">
        <f>AVERAGEIF(Table1[Age],A4,Table1[Screen Time (HRS)])</f>
        <v>2.3333333333333335</v>
      </c>
      <c r="C4" s="4"/>
      <c r="K4" s="14" t="s">
        <v>97</v>
      </c>
      <c r="L4" s="15">
        <f>AVERAGEIF(cleaned_data!$H$2:$H$12,K4,cleaned_data!$F$2:$F$12)</f>
        <v>3</v>
      </c>
    </row>
    <row r="5" spans="1:12" ht="15.75" thickBot="1" x14ac:dyDescent="0.3">
      <c r="A5" s="9" t="s">
        <v>83</v>
      </c>
      <c r="B5" s="4">
        <f>AVERAGEIF(Table1[Age],A5,Table1[Screen Time (HRS)])</f>
        <v>3.5</v>
      </c>
      <c r="C5" s="4"/>
      <c r="K5" s="16" t="s">
        <v>100</v>
      </c>
      <c r="L5" s="17">
        <f>AVERAGEIF(cleaned_data!$H$2:$H$12,K5,cleaned_data!$F$2:$F$12)</f>
        <v>2</v>
      </c>
    </row>
    <row r="6" spans="1:12" x14ac:dyDescent="0.25">
      <c r="A6" s="8" t="s">
        <v>86</v>
      </c>
      <c r="B6" s="4">
        <f>AVERAGEIF(Table1[Age],A6,Table1[Screen Time (HRS)])</f>
        <v>6.8</v>
      </c>
      <c r="C6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Dashboard_charts</vt:lpstr>
      <vt:lpstr>uncleaned_data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2025-07-30T14:10:40Z</dcterms:created>
  <dcterms:modified xsi:type="dcterms:W3CDTF">2026-01-14T12:13:18Z</dcterms:modified>
</cp:coreProperties>
</file>