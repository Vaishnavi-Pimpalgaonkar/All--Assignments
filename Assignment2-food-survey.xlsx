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8C04F858-95AC-4111-B437-7BCFFED928F6}" xr6:coauthVersionLast="47" xr6:coauthVersionMax="47" xr10:uidLastSave="{00000000-0000-0000-0000-000000000000}"/>
  <bookViews>
    <workbookView xWindow="-120" yWindow="-120" windowWidth="20730" windowHeight="11160" activeTab="1" xr2:uid="{C5B91EAD-45CF-4CB5-95C0-3731CFC93468}"/>
  </bookViews>
  <sheets>
    <sheet name="cleaned_data" sheetId="1" r:id="rId1"/>
    <sheet name="Dashboard_Chart" sheetId="6" r:id="rId2"/>
  </sheets>
  <definedNames>
    <definedName name="_xlnm._FilterDatabase" localSheetId="0" hidden="1">cleaned_data!$A$1:$I$16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" l="1"/>
  <c r="C37" i="1"/>
  <c r="C32" i="1"/>
  <c r="G36" i="1"/>
  <c r="G23" i="1"/>
  <c r="G35" i="1"/>
  <c r="G34" i="1"/>
  <c r="G33" i="1"/>
  <c r="G32" i="1"/>
  <c r="G31" i="1"/>
  <c r="G30" i="1"/>
  <c r="G29" i="1"/>
  <c r="G28" i="1"/>
  <c r="G27" i="1"/>
  <c r="G26" i="1"/>
  <c r="G25" i="1"/>
  <c r="G24" i="1"/>
</calcChain>
</file>

<file path=xl/sharedStrings.xml><?xml version="1.0" encoding="utf-8"?>
<sst xmlns="http://schemas.openxmlformats.org/spreadsheetml/2006/main" count="179" uniqueCount="79">
  <si>
    <t>Name</t>
  </si>
  <si>
    <t>Age</t>
  </si>
  <si>
    <t>Gender</t>
  </si>
  <si>
    <t>Type of food consumed</t>
  </si>
  <si>
    <t>Preferances</t>
  </si>
  <si>
    <t>Health concerns</t>
  </si>
  <si>
    <t>Monthy spending on eating out</t>
  </si>
  <si>
    <t>Homemade vs outside food</t>
  </si>
  <si>
    <t>Rama</t>
  </si>
  <si>
    <t>Female</t>
  </si>
  <si>
    <t>indian,north indian</t>
  </si>
  <si>
    <t>acidity</t>
  </si>
  <si>
    <t>outside food is tasty.</t>
  </si>
  <si>
    <t>kavya</t>
  </si>
  <si>
    <t>south indian</t>
  </si>
  <si>
    <t>caffe</t>
  </si>
  <si>
    <t>N/A</t>
  </si>
  <si>
    <t>Male</t>
  </si>
  <si>
    <t>indian</t>
  </si>
  <si>
    <t>Restaurant</t>
  </si>
  <si>
    <t>nothing</t>
  </si>
  <si>
    <t>outside food is dirty but tasty.</t>
  </si>
  <si>
    <t>sam</t>
  </si>
  <si>
    <t>chinesse,indian</t>
  </si>
  <si>
    <t>constipation</t>
  </si>
  <si>
    <t>rewa</t>
  </si>
  <si>
    <t>fast food, indian</t>
  </si>
  <si>
    <t>street food</t>
  </si>
  <si>
    <t>outside food is yummy.</t>
  </si>
  <si>
    <t>Bruss</t>
  </si>
  <si>
    <t>soft drink, japnesse</t>
  </si>
  <si>
    <t>obessity</t>
  </si>
  <si>
    <t>shyam</t>
  </si>
  <si>
    <t>fast food, chinesse</t>
  </si>
  <si>
    <t>riya</t>
  </si>
  <si>
    <t>indigestion</t>
  </si>
  <si>
    <t>home made is good than outside</t>
  </si>
  <si>
    <t>kalyani</t>
  </si>
  <si>
    <t>Kenn</t>
  </si>
  <si>
    <t>korean</t>
  </si>
  <si>
    <t>Arjun</t>
  </si>
  <si>
    <t>chinesse</t>
  </si>
  <si>
    <t>Hyper acidity</t>
  </si>
  <si>
    <t>Ritika</t>
  </si>
  <si>
    <t>korean,japnesse</t>
  </si>
  <si>
    <t>shefali</t>
  </si>
  <si>
    <t>loose motion</t>
  </si>
  <si>
    <t>sushant</t>
  </si>
  <si>
    <t>ravi</t>
  </si>
  <si>
    <t>homemade,street food</t>
  </si>
  <si>
    <t>Freq.of eating out per week</t>
  </si>
  <si>
    <t>Restaurant,street food</t>
  </si>
  <si>
    <t>Indian</t>
  </si>
  <si>
    <t>fast food</t>
  </si>
  <si>
    <t>japnesse</t>
  </si>
  <si>
    <t>fast food , soft drink</t>
  </si>
  <si>
    <t>north indian</t>
  </si>
  <si>
    <t>indian + chinesse</t>
  </si>
  <si>
    <t>fast  food + indian</t>
  </si>
  <si>
    <t>soft drink + japnesse</t>
  </si>
  <si>
    <t>fast food + chinesse</t>
  </si>
  <si>
    <t>fast food + soft drink</t>
  </si>
  <si>
    <t>korean + japnesse</t>
  </si>
  <si>
    <t>Sum of Freq.of eating out per week</t>
  </si>
  <si>
    <t>Row Labels</t>
  </si>
  <si>
    <t>Grand Total</t>
  </si>
  <si>
    <t>20-29</t>
  </si>
  <si>
    <t>30-39</t>
  </si>
  <si>
    <t>50-59</t>
  </si>
  <si>
    <t>40-49</t>
  </si>
  <si>
    <t>10--19</t>
  </si>
  <si>
    <t>30-49</t>
  </si>
  <si>
    <t>indian + north indian</t>
  </si>
  <si>
    <t>Count of Preferances</t>
  </si>
  <si>
    <t>Most Preffered Food from Survey</t>
  </si>
  <si>
    <t>According to responses Indian food is most preffered food.</t>
  </si>
  <si>
    <t>People have health issue</t>
  </si>
  <si>
    <t>Avg.spending per person on eating out</t>
  </si>
  <si>
    <t>Sum of Monthy spending on eating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</si>
</sst>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" fontId="0" fillId="0" borderId="2" xfId="0" applyNumberFormat="1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5" fillId="0" borderId="7" xfId="0" applyFont="1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4" fillId="0" borderId="7" xfId="0" applyFont="1" applyBorder="1"/>
    <xf numFmtId="2" fontId="0" fillId="3" borderId="11" xfId="0" applyNumberFormat="1" applyFill="1" applyBorder="1"/>
    <xf numFmtId="0" fontId="2" fillId="0" borderId="0" xfId="0" applyFont="1"/>
    <xf numFmtId="0" fontId="0" fillId="3" borderId="12" xfId="0" applyFill="1" applyBorder="1"/>
    <xf numFmtId="0" fontId="4" fillId="0" borderId="13" xfId="0" applyFont="1" applyBorder="1"/>
    <xf numFmtId="0" fontId="0" fillId="3" borderId="13" xfId="0" applyFill="1" applyBorder="1"/>
    <xf numFmtId="0" fontId="0" fillId="0" borderId="13" xfId="0" applyBorder="1"/>
    <xf numFmtId="0" fontId="0" fillId="3" borderId="11" xfId="0" applyFill="1" applyBorder="1"/>
    <xf numFmtId="0" fontId="0" fillId="3" borderId="0" xfId="0" applyFill="1" applyBorder="1"/>
    <xf numFmtId="0" fontId="2" fillId="0" borderId="5" xfId="0" applyFont="1" applyBorder="1"/>
    <xf numFmtId="0" fontId="4" fillId="3" borderId="7" xfId="0" applyFont="1" applyFill="1" applyBorder="1"/>
    <xf numFmtId="0" fontId="2" fillId="0" borderId="7" xfId="0" applyFont="1" applyBorder="1"/>
    <xf numFmtId="0" fontId="0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[Assignment2-food-survey.xlsx]Dashboard_Chart!PivotTable7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Preferred</a:t>
            </a:r>
            <a:r>
              <a:rPr lang="en-US" baseline="0"/>
              <a:t> Food Sources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Dashboard_Chart!$E$3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6C-4615-9253-5C8DBC918C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6C-4615-9253-5C8DBC918C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6C-4615-9253-5C8DBC918C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6C-4615-9253-5C8DBC918C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26C-4615-9253-5C8DBC918C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Dashboard_Chart!$D$4:$D$9</c:f>
              <c:strCache>
                <c:ptCount val="5"/>
                <c:pt idx="0">
                  <c:v>caffe</c:v>
                </c:pt>
                <c:pt idx="1">
                  <c:v>homemade,street food</c:v>
                </c:pt>
                <c:pt idx="2">
                  <c:v>Restaurant</c:v>
                </c:pt>
                <c:pt idx="3">
                  <c:v>Restaurant,street food</c:v>
                </c:pt>
                <c:pt idx="4">
                  <c:v>street food</c:v>
                </c:pt>
              </c:strCache>
            </c:strRef>
          </c:cat>
          <c:val>
            <c:numRef>
              <c:f>Dashboard_Chart!$E$4:$E$9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6-4B96-A129-FC899C4A7F7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[Assignment2-food-survey.xlsx]Dashboard_Chart!PivotTable8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</a:t>
            </a:r>
            <a:r>
              <a:rPr lang="en-US" baseline="0"/>
              <a:t> Concern vs Eating out Freq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Dashboard_Chart!$B$32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Dashboard_Chart!$A$33:$A$41</c:f>
              <c:strCache>
                <c:ptCount val="8"/>
                <c:pt idx="0">
                  <c:v>acidity</c:v>
                </c:pt>
                <c:pt idx="1">
                  <c:v>constipation</c:v>
                </c:pt>
                <c:pt idx="2">
                  <c:v>Hyper acidity</c:v>
                </c:pt>
                <c:pt idx="3">
                  <c:v>indigestion</c:v>
                </c:pt>
                <c:pt idx="4">
                  <c:v>loose motion</c:v>
                </c:pt>
                <c:pt idx="5">
                  <c:v>N/A</c:v>
                </c:pt>
                <c:pt idx="6">
                  <c:v>nothing</c:v>
                </c:pt>
                <c:pt idx="7">
                  <c:v>obessity</c:v>
                </c:pt>
              </c:strCache>
            </c:strRef>
          </c:cat>
          <c:val>
            <c:numRef>
              <c:f>Dashboard_Chart!$B$33:$B$41</c:f>
              <c:numCache>
                <c:formatCode>General</c:formatCode>
                <c:ptCount val="8"/>
                <c:pt idx="0">
                  <c:v>8</c:v>
                </c:pt>
                <c:pt idx="1">
                  <c:v>13</c:v>
                </c:pt>
                <c:pt idx="2">
                  <c:v>6</c:v>
                </c:pt>
                <c:pt idx="3">
                  <c:v>10</c:v>
                </c:pt>
                <c:pt idx="4">
                  <c:v>3</c:v>
                </c:pt>
                <c:pt idx="5">
                  <c:v>5</c:v>
                </c:pt>
                <c:pt idx="6">
                  <c:v>1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C-49D2-A7E2-767674928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289872"/>
        <c:axId val="614350480"/>
      </c:barChart>
      <c:catAx>
        <c:axId val="61828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50480"/>
        <c:crosses val="autoZero"/>
        <c:auto val="1"/>
        <c:lblAlgn val="ctr"/>
        <c:lblOffset val="100"/>
        <c:noMultiLvlLbl val="0"/>
      </c:catAx>
      <c:valAx>
        <c:axId val="61435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8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[Assignment2-food-survey.xlsx]Dashboard_Chart!PivotTable5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Freq.of</a:t>
            </a:r>
            <a:r>
              <a:rPr lang="en-US" baseline="0"/>
              <a:t> eating out per week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Dashboard_Chart!$A$4:$A$10</c:f>
              <c:strCache>
                <c:ptCount val="6"/>
                <c:pt idx="0">
                  <c:v>10--19</c:v>
                </c:pt>
                <c:pt idx="1">
                  <c:v>20-29</c:v>
                </c:pt>
                <c:pt idx="2">
                  <c:v>30-39</c:v>
                </c:pt>
                <c:pt idx="3">
                  <c:v>30-49</c:v>
                </c:pt>
                <c:pt idx="4">
                  <c:v>40-49</c:v>
                </c:pt>
                <c:pt idx="5">
                  <c:v>50-59</c:v>
                </c:pt>
              </c:strCache>
            </c:strRef>
          </c:cat>
          <c:val>
            <c:numRef>
              <c:f>Dashboard_Chart!$B$4:$B$10</c:f>
              <c:numCache>
                <c:formatCode>General</c:formatCode>
                <c:ptCount val="6"/>
                <c:pt idx="0">
                  <c:v>12</c:v>
                </c:pt>
                <c:pt idx="1">
                  <c:v>18</c:v>
                </c:pt>
                <c:pt idx="2">
                  <c:v>7</c:v>
                </c:pt>
                <c:pt idx="3">
                  <c:v>2</c:v>
                </c:pt>
                <c:pt idx="4">
                  <c:v>12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2-494B-9CB6-6803690FE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4275712"/>
        <c:axId val="582525264"/>
      </c:barChart>
      <c:catAx>
        <c:axId val="61427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25264"/>
        <c:crosses val="autoZero"/>
        <c:auto val="1"/>
        <c:lblAlgn val="ctr"/>
        <c:lblOffset val="100"/>
        <c:noMultiLvlLbl val="0"/>
      </c:catAx>
      <c:valAx>
        <c:axId val="58252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7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[Assignment2-food-survey.xlsx]Dashboard_Chart!PivotTable9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spending on eating out per person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Dashboard_Chart!$E$32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Dashboard_Chart!$D$33:$D$48</c:f>
              <c:strCache>
                <c:ptCount val="15"/>
                <c:pt idx="0">
                  <c:v>Arjun</c:v>
                </c:pt>
                <c:pt idx="1">
                  <c:v>Bruss</c:v>
                </c:pt>
                <c:pt idx="2">
                  <c:v>kalyani</c:v>
                </c:pt>
                <c:pt idx="3">
                  <c:v>kavya</c:v>
                </c:pt>
                <c:pt idx="4">
                  <c:v>Kenn</c:v>
                </c:pt>
                <c:pt idx="5">
                  <c:v>N/A</c:v>
                </c:pt>
                <c:pt idx="6">
                  <c:v>Rama</c:v>
                </c:pt>
                <c:pt idx="7">
                  <c:v>ravi</c:v>
                </c:pt>
                <c:pt idx="8">
                  <c:v>rewa</c:v>
                </c:pt>
                <c:pt idx="9">
                  <c:v>Ritika</c:v>
                </c:pt>
                <c:pt idx="10">
                  <c:v>riya</c:v>
                </c:pt>
                <c:pt idx="11">
                  <c:v>sam</c:v>
                </c:pt>
                <c:pt idx="12">
                  <c:v>shefali</c:v>
                </c:pt>
                <c:pt idx="13">
                  <c:v>shyam</c:v>
                </c:pt>
                <c:pt idx="14">
                  <c:v>sushant</c:v>
                </c:pt>
              </c:strCache>
            </c:strRef>
          </c:cat>
          <c:val>
            <c:numRef>
              <c:f>Dashboard_Chart!$E$33:$E$48</c:f>
              <c:numCache>
                <c:formatCode>General</c:formatCode>
                <c:ptCount val="15"/>
                <c:pt idx="0">
                  <c:v>350</c:v>
                </c:pt>
                <c:pt idx="1">
                  <c:v>900</c:v>
                </c:pt>
                <c:pt idx="2">
                  <c:v>1600</c:v>
                </c:pt>
                <c:pt idx="3">
                  <c:v>500</c:v>
                </c:pt>
                <c:pt idx="4">
                  <c:v>2150</c:v>
                </c:pt>
                <c:pt idx="5">
                  <c:v>1200</c:v>
                </c:pt>
                <c:pt idx="6">
                  <c:v>1500</c:v>
                </c:pt>
                <c:pt idx="7">
                  <c:v>785</c:v>
                </c:pt>
                <c:pt idx="8">
                  <c:v>3000</c:v>
                </c:pt>
                <c:pt idx="9">
                  <c:v>4110</c:v>
                </c:pt>
                <c:pt idx="10">
                  <c:v>3900</c:v>
                </c:pt>
                <c:pt idx="11">
                  <c:v>2200</c:v>
                </c:pt>
                <c:pt idx="12">
                  <c:v>820</c:v>
                </c:pt>
                <c:pt idx="13">
                  <c:v>700</c:v>
                </c:pt>
                <c:pt idx="14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6-41D3-98FF-2CB952E8F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432944"/>
        <c:axId val="414433360"/>
      </c:lineChart>
      <c:catAx>
        <c:axId val="41443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33360"/>
        <c:crosses val="autoZero"/>
        <c:auto val="1"/>
        <c:lblAlgn val="ctr"/>
        <c:lblOffset val="100"/>
        <c:noMultiLvlLbl val="0"/>
      </c:catAx>
      <c:valAx>
        <c:axId val="41443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13</xdr:row>
      <xdr:rowOff>14287</xdr:rowOff>
    </xdr:from>
    <xdr:to>
      <xdr:col>5</xdr:col>
      <xdr:colOff>47625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1002A0-E3F8-4852-AB6B-1A3FA4BF2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50</xdr:row>
      <xdr:rowOff>52387</xdr:rowOff>
    </xdr:from>
    <xdr:to>
      <xdr:col>1</xdr:col>
      <xdr:colOff>2028825</xdr:colOff>
      <xdr:row>63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05ECF9-39A8-48C2-95EB-00CB359F0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66676</xdr:colOff>
      <xdr:row>12</xdr:row>
      <xdr:rowOff>171449</xdr:rowOff>
    </xdr:from>
    <xdr:to>
      <xdr:col>1</xdr:col>
      <xdr:colOff>2085975</xdr:colOff>
      <xdr:row>24</xdr:row>
      <xdr:rowOff>104774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6A06CB-4999-4A28-A5E5-3D7A8101C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50</xdr:row>
      <xdr:rowOff>23812</xdr:rowOff>
    </xdr:from>
    <xdr:to>
      <xdr:col>5</xdr:col>
      <xdr:colOff>0</xdr:colOff>
      <xdr:row>63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65CC91-5150-4E88-9715-A26F8FA97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79.588630208331" createdVersion="7" refreshedVersion="7" minRefreshableVersion="3" recordCount="15" xr:uid="{00BF669F-AC4C-41B7-988F-8A11E349ECA6}">
  <cacheSource type="worksheet">
    <worksheetSource ref="A1:I16" sheet="cleaned_data"/>
  </cacheSource>
  <cacheFields count="9">
    <cacheField name="Name" numFmtId="0">
      <sharedItems count="15">
        <s v="Rama"/>
        <s v="kavya"/>
        <s v="N/A"/>
        <s v="sam"/>
        <s v="rewa"/>
        <s v="Bruss"/>
        <s v="shyam"/>
        <s v="riya"/>
        <s v="kalyani"/>
        <s v="Kenn"/>
        <s v="Arjun"/>
        <s v="Ritika"/>
        <s v="shefali"/>
        <s v="sushant"/>
        <s v="ravi"/>
      </sharedItems>
    </cacheField>
    <cacheField name="Age" numFmtId="0">
      <sharedItems count="6">
        <s v="20-29"/>
        <s v="30-39"/>
        <s v="50-59"/>
        <s v="40-49"/>
        <s v="10--19"/>
        <s v="30-49"/>
      </sharedItems>
    </cacheField>
    <cacheField name="Gender" numFmtId="0">
      <sharedItems/>
    </cacheField>
    <cacheField name="Freq.of eating out per week" numFmtId="0">
      <sharedItems containsSemiMixedTypes="0" containsString="0" containsNumber="1" containsInteger="1" minValue="1" maxValue="6" count="6">
        <n v="5"/>
        <n v="3"/>
        <n v="1"/>
        <n v="4"/>
        <n v="6"/>
        <n v="2"/>
      </sharedItems>
    </cacheField>
    <cacheField name="Type of food consumed" numFmtId="0">
      <sharedItems count="11">
        <s v="indian,north indian"/>
        <s v="south indian"/>
        <s v="indian"/>
        <s v="chinesse,indian"/>
        <s v="fast food, indian"/>
        <s v="soft drink, japnesse"/>
        <s v="fast food, chinesse"/>
        <s v="fast food , soft drink"/>
        <s v="korean"/>
        <s v="chinesse"/>
        <s v="korean,japnesse"/>
      </sharedItems>
    </cacheField>
    <cacheField name="Preferances" numFmtId="0">
      <sharedItems count="5">
        <s v="Restaurant"/>
        <s v="caffe"/>
        <s v="Restaurant,street food"/>
        <s v="street food"/>
        <s v="homemade,street food"/>
      </sharedItems>
    </cacheField>
    <cacheField name="Health concerns" numFmtId="0">
      <sharedItems count="8">
        <s v="acidity"/>
        <s v="nothing"/>
        <s v="constipation"/>
        <s v="obessity"/>
        <s v="indigestion"/>
        <s v="N/A"/>
        <s v="Hyper acidity"/>
        <s v="loose motion"/>
      </sharedItems>
    </cacheField>
    <cacheField name="Monthy spending on eating out" numFmtId="0">
      <sharedItems containsSemiMixedTypes="0" containsString="0" containsNumber="1" containsInteger="1" minValue="350" maxValue="4110" count="15">
        <n v="1500"/>
        <n v="500"/>
        <n v="1200"/>
        <n v="2200"/>
        <n v="3000"/>
        <n v="900"/>
        <n v="700"/>
        <n v="3900"/>
        <n v="1600"/>
        <n v="2150"/>
        <n v="350"/>
        <n v="4110"/>
        <n v="820"/>
        <n v="480"/>
        <n v="785"/>
      </sharedItems>
    </cacheField>
    <cacheField name="Homemade vs outside fo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s v="Female"/>
    <x v="0"/>
    <x v="0"/>
    <x v="0"/>
    <x v="0"/>
    <x v="0"/>
    <s v="outside food is tasty."/>
  </r>
  <r>
    <x v="1"/>
    <x v="1"/>
    <s v="Female"/>
    <x v="1"/>
    <x v="1"/>
    <x v="1"/>
    <x v="0"/>
    <x v="1"/>
    <s v="N/A"/>
  </r>
  <r>
    <x v="2"/>
    <x v="2"/>
    <s v="Male"/>
    <x v="2"/>
    <x v="2"/>
    <x v="0"/>
    <x v="1"/>
    <x v="2"/>
    <s v="outside food is dirty but tasty."/>
  </r>
  <r>
    <x v="3"/>
    <x v="0"/>
    <s v="Male"/>
    <x v="3"/>
    <x v="3"/>
    <x v="2"/>
    <x v="2"/>
    <x v="3"/>
    <s v="outside food is dirty but tasty."/>
  </r>
  <r>
    <x v="4"/>
    <x v="0"/>
    <s v="Female"/>
    <x v="0"/>
    <x v="4"/>
    <x v="3"/>
    <x v="2"/>
    <x v="4"/>
    <s v="outside food is yummy."/>
  </r>
  <r>
    <x v="5"/>
    <x v="3"/>
    <s v="Male"/>
    <x v="1"/>
    <x v="5"/>
    <x v="1"/>
    <x v="3"/>
    <x v="5"/>
    <s v="outside food is yummy."/>
  </r>
  <r>
    <x v="6"/>
    <x v="1"/>
    <s v="Male"/>
    <x v="3"/>
    <x v="6"/>
    <x v="1"/>
    <x v="3"/>
    <x v="6"/>
    <s v="outside food is yummy."/>
  </r>
  <r>
    <x v="7"/>
    <x v="4"/>
    <s v="Male"/>
    <x v="4"/>
    <x v="7"/>
    <x v="1"/>
    <x v="4"/>
    <x v="7"/>
    <s v="home made is good than outside"/>
  </r>
  <r>
    <x v="8"/>
    <x v="0"/>
    <s v="Female"/>
    <x v="3"/>
    <x v="2"/>
    <x v="0"/>
    <x v="4"/>
    <x v="8"/>
    <s v="home made is good than outside"/>
  </r>
  <r>
    <x v="9"/>
    <x v="3"/>
    <s v="Male"/>
    <x v="1"/>
    <x v="8"/>
    <x v="0"/>
    <x v="5"/>
    <x v="9"/>
    <s v="home made is good than outside"/>
  </r>
  <r>
    <x v="10"/>
    <x v="4"/>
    <s v="Male"/>
    <x v="4"/>
    <x v="9"/>
    <x v="3"/>
    <x v="6"/>
    <x v="10"/>
    <s v="N/A"/>
  </r>
  <r>
    <x v="11"/>
    <x v="3"/>
    <s v="Female"/>
    <x v="3"/>
    <x v="10"/>
    <x v="0"/>
    <x v="2"/>
    <x v="11"/>
    <s v="N/A"/>
  </r>
  <r>
    <x v="12"/>
    <x v="5"/>
    <s v="Female"/>
    <x v="5"/>
    <x v="5"/>
    <x v="1"/>
    <x v="7"/>
    <x v="12"/>
    <s v="N/A"/>
  </r>
  <r>
    <x v="13"/>
    <x v="2"/>
    <s v="Male"/>
    <x v="2"/>
    <x v="2"/>
    <x v="3"/>
    <x v="7"/>
    <x v="13"/>
    <s v="N/A"/>
  </r>
  <r>
    <x v="14"/>
    <x v="3"/>
    <s v="Male"/>
    <x v="5"/>
    <x v="2"/>
    <x v="4"/>
    <x v="5"/>
    <x v="14"/>
    <s v="home made is good than outsid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CC6C2-97D4-4A97-B58C-9E86BD10E96F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0" firstHeaderRow="1" firstDataRow="1" firstDataCol="1"/>
  <pivotFields count="9">
    <pivotField showAll="0"/>
    <pivotField axis="axisRow" showAll="0">
      <items count="7">
        <item x="4"/>
        <item x="0"/>
        <item x="1"/>
        <item x="5"/>
        <item x="3"/>
        <item x="2"/>
        <item t="default"/>
      </items>
    </pivotField>
    <pivotField showAll="0"/>
    <pivotField dataField="1" showAll="0"/>
    <pivotField showAll="0">
      <items count="12">
        <item x="9"/>
        <item x="3"/>
        <item x="7"/>
        <item x="6"/>
        <item x="4"/>
        <item x="2"/>
        <item x="0"/>
        <item x="8"/>
        <item x="10"/>
        <item x="5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req.of eating out per week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F6438-8000-4ECB-A9EF-C7818D16E946}" name="PivotTable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D32:E48" firstHeaderRow="1" firstDataRow="1" firstDataCol="1"/>
  <pivotFields count="9">
    <pivotField axis="axisRow" showAll="0">
      <items count="16">
        <item x="10"/>
        <item x="5"/>
        <item x="8"/>
        <item x="1"/>
        <item x="9"/>
        <item x="2"/>
        <item x="0"/>
        <item x="14"/>
        <item x="4"/>
        <item x="11"/>
        <item x="7"/>
        <item x="3"/>
        <item x="12"/>
        <item x="6"/>
        <item x="13"/>
        <item t="default"/>
      </items>
    </pivotField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/>
    <pivotField showAll="0">
      <items count="12">
        <item x="9"/>
        <item x="3"/>
        <item x="7"/>
        <item x="6"/>
        <item x="4"/>
        <item x="2"/>
        <item x="0"/>
        <item x="8"/>
        <item x="10"/>
        <item x="5"/>
        <item x="1"/>
        <item t="default"/>
      </items>
    </pivotField>
    <pivotField showAll="0">
      <items count="6">
        <item x="1"/>
        <item x="4"/>
        <item x="0"/>
        <item x="2"/>
        <item x="3"/>
        <item t="default"/>
      </items>
    </pivotField>
    <pivotField showAll="0">
      <items count="9">
        <item x="0"/>
        <item x="2"/>
        <item x="6"/>
        <item x="4"/>
        <item x="7"/>
        <item x="5"/>
        <item x="1"/>
        <item x="3"/>
        <item t="default"/>
      </items>
    </pivotField>
    <pivotField dataField="1"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Monthy spending on eating out" fld="7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EAFA3-F096-40A0-BB33-3B0FC2C5D850}" name="PivotTable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2:B41" firstHeaderRow="1" firstDataRow="1" firstDataCol="1"/>
  <pivotFields count="9">
    <pivotField showAll="0"/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dataField="1" showAll="0"/>
    <pivotField showAll="0">
      <items count="12">
        <item x="9"/>
        <item x="3"/>
        <item x="7"/>
        <item x="6"/>
        <item x="4"/>
        <item x="2"/>
        <item x="0"/>
        <item x="8"/>
        <item x="10"/>
        <item x="5"/>
        <item x="1"/>
        <item t="default"/>
      </items>
    </pivotField>
    <pivotField showAll="0">
      <items count="6">
        <item x="1"/>
        <item x="4"/>
        <item x="0"/>
        <item x="2"/>
        <item x="3"/>
        <item t="default"/>
      </items>
    </pivotField>
    <pivotField axis="axisRow" showAll="0">
      <items count="9">
        <item x="0"/>
        <item x="2"/>
        <item x="6"/>
        <item x="4"/>
        <item x="7"/>
        <item x="5"/>
        <item x="1"/>
        <item x="3"/>
        <item t="default"/>
      </items>
    </pivotField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Freq.of eating out per week" fld="3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42945-4E98-48BD-869A-D5BFFCEB66DB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D3:E9" firstHeaderRow="1" firstDataRow="1" firstDataCol="1"/>
  <pivotFields count="9">
    <pivotField showAll="0"/>
    <pivotField showAll="0">
      <items count="7">
        <item x="4"/>
        <item x="0"/>
        <item x="1"/>
        <item x="5"/>
        <item x="3"/>
        <item x="2"/>
        <item t="default"/>
      </items>
    </pivotField>
    <pivotField showAll="0"/>
    <pivotField showAll="0"/>
    <pivotField showAll="0">
      <items count="12">
        <item x="9"/>
        <item x="3"/>
        <item x="7"/>
        <item x="6"/>
        <item x="4"/>
        <item x="2"/>
        <item x="0"/>
        <item x="8"/>
        <item x="10"/>
        <item x="5"/>
        <item x="1"/>
        <item t="default"/>
      </items>
    </pivotField>
    <pivotField axis="axisRow" dataField="1" showAll="0">
      <items count="6">
        <item x="1"/>
        <item x="4"/>
        <item x="0"/>
        <item x="2"/>
        <item x="3"/>
        <item t="default"/>
      </items>
    </pivotField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eferances" fld="5" subtotal="count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4EC6-C56D-48A6-A1D9-090537029B8B}">
  <dimension ref="A1:I40"/>
  <sheetViews>
    <sheetView zoomScaleNormal="100" workbookViewId="0">
      <selection activeCell="D18" sqref="D18"/>
    </sheetView>
  </sheetViews>
  <sheetFormatPr defaultRowHeight="15" x14ac:dyDescent="0.25"/>
  <cols>
    <col min="3" max="3" width="22.7109375" customWidth="1"/>
    <col min="4" max="4" width="29.28515625" customWidth="1"/>
    <col min="5" max="5" width="23.5703125" customWidth="1"/>
    <col min="6" max="6" width="27.28515625" customWidth="1"/>
    <col min="7" max="7" width="18.42578125" customWidth="1"/>
    <col min="8" max="8" width="31" customWidth="1"/>
    <col min="9" max="9" width="30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50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1:9" x14ac:dyDescent="0.25">
      <c r="A2" s="4" t="s">
        <v>8</v>
      </c>
      <c r="B2" s="5" t="s">
        <v>66</v>
      </c>
      <c r="C2" s="5" t="s">
        <v>9</v>
      </c>
      <c r="D2" s="5">
        <v>5</v>
      </c>
      <c r="E2" s="5" t="s">
        <v>10</v>
      </c>
      <c r="F2" s="5" t="s">
        <v>19</v>
      </c>
      <c r="G2" s="5" t="s">
        <v>11</v>
      </c>
      <c r="H2" s="5">
        <v>1500</v>
      </c>
      <c r="I2" s="6" t="s">
        <v>12</v>
      </c>
    </row>
    <row r="3" spans="1:9" x14ac:dyDescent="0.25">
      <c r="A3" s="7" t="s">
        <v>13</v>
      </c>
      <c r="B3" s="8" t="s">
        <v>67</v>
      </c>
      <c r="C3" s="8" t="s">
        <v>9</v>
      </c>
      <c r="D3" s="8">
        <v>3</v>
      </c>
      <c r="E3" s="8" t="s">
        <v>14</v>
      </c>
      <c r="F3" s="8" t="s">
        <v>15</v>
      </c>
      <c r="G3" s="8" t="s">
        <v>11</v>
      </c>
      <c r="H3" s="8">
        <v>500</v>
      </c>
      <c r="I3" s="9" t="s">
        <v>16</v>
      </c>
    </row>
    <row r="4" spans="1:9" x14ac:dyDescent="0.25">
      <c r="A4" s="4" t="s">
        <v>16</v>
      </c>
      <c r="B4" s="5" t="s">
        <v>68</v>
      </c>
      <c r="C4" s="5" t="s">
        <v>17</v>
      </c>
      <c r="D4" s="5">
        <v>1</v>
      </c>
      <c r="E4" s="5" t="s">
        <v>18</v>
      </c>
      <c r="F4" s="5" t="s">
        <v>19</v>
      </c>
      <c r="G4" s="5" t="s">
        <v>16</v>
      </c>
      <c r="H4" s="5">
        <v>1200</v>
      </c>
      <c r="I4" s="6" t="s">
        <v>21</v>
      </c>
    </row>
    <row r="5" spans="1:9" x14ac:dyDescent="0.25">
      <c r="A5" s="7" t="s">
        <v>22</v>
      </c>
      <c r="B5" s="8" t="s">
        <v>66</v>
      </c>
      <c r="C5" s="8" t="s">
        <v>17</v>
      </c>
      <c r="D5" s="8">
        <v>4</v>
      </c>
      <c r="E5" s="8" t="s">
        <v>23</v>
      </c>
      <c r="F5" s="8" t="s">
        <v>51</v>
      </c>
      <c r="G5" s="8" t="s">
        <v>24</v>
      </c>
      <c r="H5" s="8">
        <v>2200</v>
      </c>
      <c r="I5" s="9" t="s">
        <v>21</v>
      </c>
    </row>
    <row r="6" spans="1:9" x14ac:dyDescent="0.25">
      <c r="A6" s="4" t="s">
        <v>25</v>
      </c>
      <c r="B6" s="8" t="s">
        <v>66</v>
      </c>
      <c r="C6" s="5" t="s">
        <v>9</v>
      </c>
      <c r="D6" s="5">
        <v>5</v>
      </c>
      <c r="E6" s="5" t="s">
        <v>26</v>
      </c>
      <c r="F6" s="5" t="s">
        <v>27</v>
      </c>
      <c r="G6" s="5" t="s">
        <v>24</v>
      </c>
      <c r="H6" s="5">
        <v>3000</v>
      </c>
      <c r="I6" s="6" t="s">
        <v>28</v>
      </c>
    </row>
    <row r="7" spans="1:9" x14ac:dyDescent="0.25">
      <c r="A7" s="7" t="s">
        <v>29</v>
      </c>
      <c r="B7" s="8" t="s">
        <v>69</v>
      </c>
      <c r="C7" s="8" t="s">
        <v>17</v>
      </c>
      <c r="D7" s="8">
        <v>3</v>
      </c>
      <c r="E7" s="8" t="s">
        <v>30</v>
      </c>
      <c r="F7" s="8" t="s">
        <v>15</v>
      </c>
      <c r="G7" s="8" t="s">
        <v>31</v>
      </c>
      <c r="H7" s="8">
        <v>900</v>
      </c>
      <c r="I7" s="9" t="s">
        <v>28</v>
      </c>
    </row>
    <row r="8" spans="1:9" x14ac:dyDescent="0.25">
      <c r="A8" s="4" t="s">
        <v>32</v>
      </c>
      <c r="B8" s="5" t="s">
        <v>67</v>
      </c>
      <c r="C8" s="5" t="s">
        <v>17</v>
      </c>
      <c r="D8" s="5">
        <v>4</v>
      </c>
      <c r="E8" s="5" t="s">
        <v>33</v>
      </c>
      <c r="F8" s="5" t="s">
        <v>15</v>
      </c>
      <c r="G8" s="5" t="s">
        <v>31</v>
      </c>
      <c r="H8" s="5">
        <v>700</v>
      </c>
      <c r="I8" s="6" t="s">
        <v>28</v>
      </c>
    </row>
    <row r="9" spans="1:9" x14ac:dyDescent="0.25">
      <c r="A9" s="7" t="s">
        <v>34</v>
      </c>
      <c r="B9" s="13" t="s">
        <v>70</v>
      </c>
      <c r="C9" s="8" t="s">
        <v>17</v>
      </c>
      <c r="D9" s="8">
        <v>6</v>
      </c>
      <c r="E9" s="8" t="s">
        <v>55</v>
      </c>
      <c r="F9" s="8" t="s">
        <v>15</v>
      </c>
      <c r="G9" s="8" t="s">
        <v>35</v>
      </c>
      <c r="H9" s="8">
        <v>3900</v>
      </c>
      <c r="I9" s="9" t="s">
        <v>36</v>
      </c>
    </row>
    <row r="10" spans="1:9" x14ac:dyDescent="0.25">
      <c r="A10" s="4" t="s">
        <v>37</v>
      </c>
      <c r="B10" s="5" t="s">
        <v>66</v>
      </c>
      <c r="C10" s="5" t="s">
        <v>9</v>
      </c>
      <c r="D10" s="5">
        <v>4</v>
      </c>
      <c r="E10" s="5" t="s">
        <v>18</v>
      </c>
      <c r="F10" s="5" t="s">
        <v>19</v>
      </c>
      <c r="G10" s="5" t="s">
        <v>35</v>
      </c>
      <c r="H10" s="5">
        <v>1600</v>
      </c>
      <c r="I10" s="6" t="s">
        <v>36</v>
      </c>
    </row>
    <row r="11" spans="1:9" x14ac:dyDescent="0.25">
      <c r="A11" s="7" t="s">
        <v>38</v>
      </c>
      <c r="B11" s="8" t="s">
        <v>69</v>
      </c>
      <c r="C11" s="8" t="s">
        <v>17</v>
      </c>
      <c r="D11" s="8">
        <v>3</v>
      </c>
      <c r="E11" s="8" t="s">
        <v>39</v>
      </c>
      <c r="F11" s="8" t="s">
        <v>19</v>
      </c>
      <c r="G11" s="8" t="s">
        <v>16</v>
      </c>
      <c r="H11" s="8">
        <v>2150</v>
      </c>
      <c r="I11" s="9" t="s">
        <v>36</v>
      </c>
    </row>
    <row r="12" spans="1:9" x14ac:dyDescent="0.25">
      <c r="A12" s="4" t="s">
        <v>40</v>
      </c>
      <c r="B12" s="5" t="s">
        <v>70</v>
      </c>
      <c r="C12" s="5" t="s">
        <v>17</v>
      </c>
      <c r="D12" s="5">
        <v>6</v>
      </c>
      <c r="E12" s="5" t="s">
        <v>41</v>
      </c>
      <c r="F12" s="5" t="s">
        <v>27</v>
      </c>
      <c r="G12" s="5" t="s">
        <v>42</v>
      </c>
      <c r="H12" s="5">
        <v>350</v>
      </c>
      <c r="I12" s="6" t="s">
        <v>16</v>
      </c>
    </row>
    <row r="13" spans="1:9" x14ac:dyDescent="0.25">
      <c r="A13" s="7" t="s">
        <v>43</v>
      </c>
      <c r="B13" s="8" t="s">
        <v>69</v>
      </c>
      <c r="C13" s="8" t="s">
        <v>9</v>
      </c>
      <c r="D13" s="8">
        <v>4</v>
      </c>
      <c r="E13" s="8" t="s">
        <v>44</v>
      </c>
      <c r="F13" s="8" t="s">
        <v>19</v>
      </c>
      <c r="G13" s="8" t="s">
        <v>24</v>
      </c>
      <c r="H13" s="8">
        <v>4110</v>
      </c>
      <c r="I13" s="9" t="s">
        <v>16</v>
      </c>
    </row>
    <row r="14" spans="1:9" x14ac:dyDescent="0.25">
      <c r="A14" s="4" t="s">
        <v>45</v>
      </c>
      <c r="B14" s="5" t="s">
        <v>71</v>
      </c>
      <c r="C14" s="5" t="s">
        <v>9</v>
      </c>
      <c r="D14" s="5">
        <v>2</v>
      </c>
      <c r="E14" s="5" t="s">
        <v>30</v>
      </c>
      <c r="F14" s="5" t="s">
        <v>15</v>
      </c>
      <c r="G14" s="5" t="s">
        <v>46</v>
      </c>
      <c r="H14" s="5">
        <v>820</v>
      </c>
      <c r="I14" s="6" t="s">
        <v>16</v>
      </c>
    </row>
    <row r="15" spans="1:9" x14ac:dyDescent="0.25">
      <c r="A15" s="7" t="s">
        <v>47</v>
      </c>
      <c r="B15" s="8" t="s">
        <v>68</v>
      </c>
      <c r="C15" s="8" t="s">
        <v>17</v>
      </c>
      <c r="D15" s="8">
        <v>1</v>
      </c>
      <c r="E15" s="8" t="s">
        <v>18</v>
      </c>
      <c r="F15" s="8" t="s">
        <v>27</v>
      </c>
      <c r="G15" s="8" t="s">
        <v>46</v>
      </c>
      <c r="H15" s="8">
        <v>480</v>
      </c>
      <c r="I15" s="9" t="s">
        <v>16</v>
      </c>
    </row>
    <row r="16" spans="1:9" x14ac:dyDescent="0.25">
      <c r="A16" s="4" t="s">
        <v>48</v>
      </c>
      <c r="B16" s="5" t="s">
        <v>69</v>
      </c>
      <c r="C16" s="5" t="s">
        <v>17</v>
      </c>
      <c r="D16" s="5">
        <v>2</v>
      </c>
      <c r="E16" s="5" t="s">
        <v>18</v>
      </c>
      <c r="F16" s="5" t="s">
        <v>49</v>
      </c>
      <c r="G16" s="5" t="s">
        <v>16</v>
      </c>
      <c r="H16" s="5">
        <v>785</v>
      </c>
      <c r="I16" s="6" t="s">
        <v>36</v>
      </c>
    </row>
    <row r="19" spans="3:7" ht="15.75" thickBot="1" x14ac:dyDescent="0.3"/>
    <row r="20" spans="3:7" x14ac:dyDescent="0.25">
      <c r="F20" s="15"/>
      <c r="G20" s="16"/>
    </row>
    <row r="21" spans="3:7" ht="18.75" x14ac:dyDescent="0.3">
      <c r="F21" s="17" t="s">
        <v>74</v>
      </c>
      <c r="G21" s="18"/>
    </row>
    <row r="22" spans="3:7" ht="15.75" thickBot="1" x14ac:dyDescent="0.3">
      <c r="F22" s="19"/>
      <c r="G22" s="18"/>
    </row>
    <row r="23" spans="3:7" x14ac:dyDescent="0.25">
      <c r="C23" s="15"/>
      <c r="D23" s="16"/>
      <c r="F23" s="19" t="s">
        <v>52</v>
      </c>
      <c r="G23" s="18">
        <f>COUNTIF($E$2:$E$16,"indian")</f>
        <v>4</v>
      </c>
    </row>
    <row r="24" spans="3:7" ht="15.75" x14ac:dyDescent="0.25">
      <c r="C24" s="23" t="s">
        <v>50</v>
      </c>
      <c r="D24" s="18"/>
      <c r="F24" s="19" t="s">
        <v>41</v>
      </c>
      <c r="G24" s="18">
        <f>COUNTIF($E$2:$E$16,"chinesse")</f>
        <v>1</v>
      </c>
    </row>
    <row r="25" spans="3:7" x14ac:dyDescent="0.25">
      <c r="C25" s="19"/>
      <c r="D25" s="18"/>
      <c r="F25" s="19" t="s">
        <v>53</v>
      </c>
      <c r="G25" s="18">
        <f>COUNTIF($E$2:$E$16,"fast Food")</f>
        <v>0</v>
      </c>
    </row>
    <row r="26" spans="3:7" ht="15.75" thickBot="1" x14ac:dyDescent="0.3">
      <c r="C26" s="24">
        <f>AVERAGE(A2:A16,D2:D16)</f>
        <v>3.5333333333333332</v>
      </c>
      <c r="D26" s="21"/>
      <c r="F26" s="19" t="s">
        <v>54</v>
      </c>
      <c r="G26" s="18">
        <f>COUNTIF($E$2:$E$16,"japnesse")</f>
        <v>0</v>
      </c>
    </row>
    <row r="27" spans="3:7" x14ac:dyDescent="0.25">
      <c r="C27" s="14"/>
      <c r="F27" s="19" t="s">
        <v>39</v>
      </c>
      <c r="G27" s="18">
        <f>COUNTIF($E$2:$E$16,"Korean")</f>
        <v>1</v>
      </c>
    </row>
    <row r="28" spans="3:7" ht="15.75" thickBot="1" x14ac:dyDescent="0.3">
      <c r="C28" s="31"/>
      <c r="F28" s="19" t="s">
        <v>14</v>
      </c>
      <c r="G28" s="18">
        <f>COUNTIF($E$2:$E$16,"South Indian")</f>
        <v>1</v>
      </c>
    </row>
    <row r="29" spans="3:7" x14ac:dyDescent="0.25">
      <c r="C29" s="32"/>
      <c r="D29" s="16"/>
      <c r="F29" s="19" t="s">
        <v>56</v>
      </c>
      <c r="G29" s="18">
        <f>COUNTIF($E$2:$E$16,"north indian")</f>
        <v>0</v>
      </c>
    </row>
    <row r="30" spans="3:7" ht="15.75" x14ac:dyDescent="0.25">
      <c r="C30" s="33" t="s">
        <v>76</v>
      </c>
      <c r="D30" s="18"/>
      <c r="F30" s="19" t="s">
        <v>72</v>
      </c>
      <c r="G30" s="18">
        <f>COUNTIFS($E$2:$E$16,"*Indian*",$E$2:$E$16,"*north indian*")</f>
        <v>1</v>
      </c>
    </row>
    <row r="31" spans="3:7" x14ac:dyDescent="0.25">
      <c r="C31" s="34"/>
      <c r="D31" s="18"/>
      <c r="F31" s="19" t="s">
        <v>57</v>
      </c>
      <c r="G31" s="18">
        <f>COUNTIFS($E$2:$E$16,"*chinesse*",$E$2:$E$16,"*indian*")</f>
        <v>1</v>
      </c>
    </row>
    <row r="32" spans="3:7" ht="15.75" thickBot="1" x14ac:dyDescent="0.3">
      <c r="C32" s="35">
        <f>COUNTIF(G2:G16,"&lt;&gt;N/A")</f>
        <v>12</v>
      </c>
      <c r="D32" s="21"/>
      <c r="F32" s="19" t="s">
        <v>58</v>
      </c>
      <c r="G32" s="18">
        <f>COUNTIFS($E$2:$E$16,"*fast food*",$E$2:$E$16,"*indian*")</f>
        <v>1</v>
      </c>
    </row>
    <row r="33" spans="3:7" ht="15.75" thickBot="1" x14ac:dyDescent="0.3">
      <c r="C33" s="14"/>
      <c r="F33" s="19" t="s">
        <v>59</v>
      </c>
      <c r="G33" s="18">
        <f>COUNTIFS($E$2:$E$16,"*soft drink*",$E$2:$E$16,"*japnesse*")</f>
        <v>2</v>
      </c>
    </row>
    <row r="34" spans="3:7" x14ac:dyDescent="0.25">
      <c r="C34" s="26"/>
      <c r="D34" s="16"/>
      <c r="F34" s="19" t="s">
        <v>60</v>
      </c>
      <c r="G34" s="18">
        <f>COUNTIFS($E$2:$E$16,"*fast food*",$E$2:$E$16,"*chinesse*")</f>
        <v>1</v>
      </c>
    </row>
    <row r="35" spans="3:7" ht="15.75" x14ac:dyDescent="0.25">
      <c r="C35" s="27" t="s">
        <v>77</v>
      </c>
      <c r="D35" s="18"/>
      <c r="F35" s="19" t="s">
        <v>61</v>
      </c>
      <c r="G35" s="18">
        <f>COUNTIFS($E$2:$E$16,"*soft drink*",$E$2:$E$16,"*fast food*")</f>
        <v>1</v>
      </c>
    </row>
    <row r="36" spans="3:7" x14ac:dyDescent="0.25">
      <c r="C36" s="28"/>
      <c r="D36" s="18"/>
      <c r="F36" s="19" t="s">
        <v>62</v>
      </c>
      <c r="G36" s="18">
        <f>COUNTIFS($E$2:$E$16,"*korean*",$E$2:$E$16,"*japnesse*")</f>
        <v>1</v>
      </c>
    </row>
    <row r="37" spans="3:7" ht="15.75" thickBot="1" x14ac:dyDescent="0.3">
      <c r="C37" s="29">
        <f>AVERAGE(A2:A16,H2:H16)</f>
        <v>1613</v>
      </c>
      <c r="D37" s="18"/>
      <c r="F37" s="20"/>
      <c r="G37" s="21"/>
    </row>
    <row r="38" spans="3:7" ht="15.75" thickBot="1" x14ac:dyDescent="0.3">
      <c r="C38" s="30"/>
      <c r="D38" s="21"/>
    </row>
    <row r="39" spans="3:7" x14ac:dyDescent="0.25">
      <c r="C39" s="22"/>
      <c r="F39" s="25" t="s">
        <v>75</v>
      </c>
    </row>
    <row r="40" spans="3:7" x14ac:dyDescent="0.25">
      <c r="C40" s="5"/>
    </row>
  </sheetData>
  <autoFilter ref="A1:I16" xr:uid="{B2484EC6-C56D-48A6-A1D9-090537029B8B}"/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5D04-6259-4C95-8409-13D3E5F18E19}">
  <dimension ref="A3:E48"/>
  <sheetViews>
    <sheetView tabSelected="1" topLeftCell="A3" workbookViewId="0">
      <selection activeCell="E4" sqref="E4"/>
    </sheetView>
  </sheetViews>
  <sheetFormatPr defaultRowHeight="15" x14ac:dyDescent="0.25"/>
  <cols>
    <col min="1" max="1" width="13.140625" bestFit="1" customWidth="1"/>
    <col min="2" max="2" width="32.85546875" bestFit="1" customWidth="1"/>
    <col min="4" max="4" width="22" customWidth="1"/>
    <col min="5" max="5" width="36.140625" bestFit="1" customWidth="1"/>
    <col min="6" max="6" width="22" bestFit="1" customWidth="1"/>
    <col min="7" max="7" width="10.5703125" bestFit="1" customWidth="1"/>
    <col min="8" max="8" width="21.42578125" bestFit="1" customWidth="1"/>
    <col min="9" max="9" width="10.85546875" bestFit="1" customWidth="1"/>
    <col min="10" max="10" width="11.28515625" bestFit="1" customWidth="1"/>
  </cols>
  <sheetData>
    <row r="3" spans="1:5" x14ac:dyDescent="0.25">
      <c r="A3" s="11" t="s">
        <v>64</v>
      </c>
      <c r="B3" t="s">
        <v>63</v>
      </c>
      <c r="D3" s="11" t="s">
        <v>64</v>
      </c>
      <c r="E3" t="s">
        <v>73</v>
      </c>
    </row>
    <row r="4" spans="1:5" x14ac:dyDescent="0.25">
      <c r="A4" s="12" t="s">
        <v>70</v>
      </c>
      <c r="B4" s="10">
        <v>12</v>
      </c>
      <c r="D4" s="12" t="s">
        <v>15</v>
      </c>
      <c r="E4" s="10">
        <v>5</v>
      </c>
    </row>
    <row r="5" spans="1:5" x14ac:dyDescent="0.25">
      <c r="A5" s="12" t="s">
        <v>66</v>
      </c>
      <c r="B5" s="10">
        <v>18</v>
      </c>
      <c r="D5" s="12" t="s">
        <v>49</v>
      </c>
      <c r="E5" s="10">
        <v>1</v>
      </c>
    </row>
    <row r="6" spans="1:5" x14ac:dyDescent="0.25">
      <c r="A6" s="12" t="s">
        <v>67</v>
      </c>
      <c r="B6" s="10">
        <v>7</v>
      </c>
      <c r="D6" s="12" t="s">
        <v>19</v>
      </c>
      <c r="E6" s="10">
        <v>5</v>
      </c>
    </row>
    <row r="7" spans="1:5" x14ac:dyDescent="0.25">
      <c r="A7" s="12" t="s">
        <v>71</v>
      </c>
      <c r="B7" s="10">
        <v>2</v>
      </c>
      <c r="D7" s="12" t="s">
        <v>51</v>
      </c>
      <c r="E7" s="10">
        <v>1</v>
      </c>
    </row>
    <row r="8" spans="1:5" x14ac:dyDescent="0.25">
      <c r="A8" s="12" t="s">
        <v>69</v>
      </c>
      <c r="B8" s="10">
        <v>12</v>
      </c>
      <c r="D8" s="12" t="s">
        <v>27</v>
      </c>
      <c r="E8" s="10">
        <v>3</v>
      </c>
    </row>
    <row r="9" spans="1:5" x14ac:dyDescent="0.25">
      <c r="A9" s="12" t="s">
        <v>68</v>
      </c>
      <c r="B9" s="10">
        <v>2</v>
      </c>
      <c r="D9" s="12" t="s">
        <v>65</v>
      </c>
      <c r="E9" s="10">
        <v>15</v>
      </c>
    </row>
    <row r="10" spans="1:5" x14ac:dyDescent="0.25">
      <c r="A10" s="12" t="s">
        <v>65</v>
      </c>
      <c r="B10" s="10">
        <v>53</v>
      </c>
    </row>
    <row r="32" spans="1:5" x14ac:dyDescent="0.25">
      <c r="A32" s="11" t="s">
        <v>64</v>
      </c>
      <c r="B32" t="s">
        <v>63</v>
      </c>
      <c r="D32" s="11" t="s">
        <v>64</v>
      </c>
      <c r="E32" t="s">
        <v>78</v>
      </c>
    </row>
    <row r="33" spans="1:5" x14ac:dyDescent="0.25">
      <c r="A33" s="12" t="s">
        <v>11</v>
      </c>
      <c r="B33" s="10">
        <v>8</v>
      </c>
      <c r="D33" s="12" t="s">
        <v>40</v>
      </c>
      <c r="E33" s="10">
        <v>350</v>
      </c>
    </row>
    <row r="34" spans="1:5" x14ac:dyDescent="0.25">
      <c r="A34" s="12" t="s">
        <v>24</v>
      </c>
      <c r="B34" s="10">
        <v>13</v>
      </c>
      <c r="D34" s="12" t="s">
        <v>29</v>
      </c>
      <c r="E34" s="10">
        <v>900</v>
      </c>
    </row>
    <row r="35" spans="1:5" x14ac:dyDescent="0.25">
      <c r="A35" s="12" t="s">
        <v>42</v>
      </c>
      <c r="B35" s="10">
        <v>6</v>
      </c>
      <c r="D35" s="12" t="s">
        <v>37</v>
      </c>
      <c r="E35" s="10">
        <v>1600</v>
      </c>
    </row>
    <row r="36" spans="1:5" x14ac:dyDescent="0.25">
      <c r="A36" s="12" t="s">
        <v>35</v>
      </c>
      <c r="B36" s="10">
        <v>10</v>
      </c>
      <c r="D36" s="12" t="s">
        <v>13</v>
      </c>
      <c r="E36" s="10">
        <v>500</v>
      </c>
    </row>
    <row r="37" spans="1:5" x14ac:dyDescent="0.25">
      <c r="A37" s="12" t="s">
        <v>46</v>
      </c>
      <c r="B37" s="10">
        <v>3</v>
      </c>
      <c r="D37" s="12" t="s">
        <v>38</v>
      </c>
      <c r="E37" s="10">
        <v>2150</v>
      </c>
    </row>
    <row r="38" spans="1:5" x14ac:dyDescent="0.25">
      <c r="A38" s="12" t="s">
        <v>16</v>
      </c>
      <c r="B38" s="10">
        <v>5</v>
      </c>
      <c r="D38" s="12" t="s">
        <v>16</v>
      </c>
      <c r="E38" s="10">
        <v>1200</v>
      </c>
    </row>
    <row r="39" spans="1:5" x14ac:dyDescent="0.25">
      <c r="A39" s="12" t="s">
        <v>20</v>
      </c>
      <c r="B39" s="10">
        <v>1</v>
      </c>
      <c r="D39" s="12" t="s">
        <v>8</v>
      </c>
      <c r="E39" s="10">
        <v>1500</v>
      </c>
    </row>
    <row r="40" spans="1:5" x14ac:dyDescent="0.25">
      <c r="A40" s="12" t="s">
        <v>31</v>
      </c>
      <c r="B40" s="10">
        <v>7</v>
      </c>
      <c r="D40" s="12" t="s">
        <v>48</v>
      </c>
      <c r="E40" s="10">
        <v>785</v>
      </c>
    </row>
    <row r="41" spans="1:5" x14ac:dyDescent="0.25">
      <c r="A41" s="12" t="s">
        <v>65</v>
      </c>
      <c r="B41" s="10">
        <v>53</v>
      </c>
      <c r="D41" s="12" t="s">
        <v>25</v>
      </c>
      <c r="E41" s="10">
        <v>3000</v>
      </c>
    </row>
    <row r="42" spans="1:5" x14ac:dyDescent="0.25">
      <c r="D42" s="12" t="s">
        <v>43</v>
      </c>
      <c r="E42" s="10">
        <v>4110</v>
      </c>
    </row>
    <row r="43" spans="1:5" x14ac:dyDescent="0.25">
      <c r="D43" s="12" t="s">
        <v>34</v>
      </c>
      <c r="E43" s="10">
        <v>3900</v>
      </c>
    </row>
    <row r="44" spans="1:5" x14ac:dyDescent="0.25">
      <c r="D44" s="12" t="s">
        <v>22</v>
      </c>
      <c r="E44" s="10">
        <v>2200</v>
      </c>
    </row>
    <row r="45" spans="1:5" x14ac:dyDescent="0.25">
      <c r="D45" s="12" t="s">
        <v>45</v>
      </c>
      <c r="E45" s="10">
        <v>820</v>
      </c>
    </row>
    <row r="46" spans="1:5" x14ac:dyDescent="0.25">
      <c r="D46" s="12" t="s">
        <v>32</v>
      </c>
      <c r="E46" s="10">
        <v>700</v>
      </c>
    </row>
    <row r="47" spans="1:5" x14ac:dyDescent="0.25">
      <c r="D47" s="12" t="s">
        <v>47</v>
      </c>
      <c r="E47" s="10">
        <v>480</v>
      </c>
    </row>
    <row r="48" spans="1:5" x14ac:dyDescent="0.25">
      <c r="D48" s="12" t="s">
        <v>65</v>
      </c>
      <c r="E48" s="10">
        <v>24195</v>
      </c>
    </row>
  </sheetData>
  <phoneticPr fontId="3" type="noConversion"/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Dashboard_Chart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2025-08-09T11:03:34Z</dcterms:created>
  <dcterms:modified xsi:type="dcterms:W3CDTF">2026-01-14T13:08:05Z</dcterms:modified>
</cp:coreProperties>
</file>