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6541E538-E3C8-42B8-A529-215DBDB96B78}" xr6:coauthVersionLast="47" xr6:coauthVersionMax="47" xr10:uidLastSave="{00000000-0000-0000-0000-000000000000}"/>
  <bookViews>
    <workbookView xWindow="-120" yWindow="-120" windowWidth="20730" windowHeight="11160" xr2:uid="{475D025E-7142-4E70-A62F-401F99113B74}"/>
  </bookViews>
  <sheets>
    <sheet name="Exercise-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0" i="1" l="1"/>
  <c r="H39" i="1"/>
</calcChain>
</file>

<file path=xl/sharedStrings.xml><?xml version="1.0" encoding="utf-8"?>
<sst xmlns="http://schemas.openxmlformats.org/spreadsheetml/2006/main" count="134" uniqueCount="100">
  <si>
    <t>Country</t>
  </si>
  <si>
    <t>Continent</t>
  </si>
  <si>
    <t>Official/Primary Language</t>
  </si>
  <si>
    <t>Population</t>
  </si>
  <si>
    <t>Area (Square KM)</t>
  </si>
  <si>
    <t xml:space="preserve">Currency </t>
  </si>
  <si>
    <t>GDP (Billions)</t>
  </si>
  <si>
    <t>China</t>
  </si>
  <si>
    <t>Asia</t>
  </si>
  <si>
    <t>Standard Chinese</t>
  </si>
  <si>
    <t>CNY</t>
  </si>
  <si>
    <t>India</t>
  </si>
  <si>
    <t>Hindi</t>
  </si>
  <si>
    <t>INR</t>
  </si>
  <si>
    <t>United States</t>
  </si>
  <si>
    <t>North America</t>
  </si>
  <si>
    <t>English</t>
  </si>
  <si>
    <t>USD</t>
  </si>
  <si>
    <t>Indonesia</t>
  </si>
  <si>
    <t>Indonesian</t>
  </si>
  <si>
    <t>IDR</t>
  </si>
  <si>
    <t>Pakistan</t>
  </si>
  <si>
    <t>Urdu</t>
  </si>
  <si>
    <t>PKR</t>
  </si>
  <si>
    <t>Brazil</t>
  </si>
  <si>
    <t>South America</t>
  </si>
  <si>
    <t>Portuguese</t>
  </si>
  <si>
    <t>BRL</t>
  </si>
  <si>
    <t>Nigeria</t>
  </si>
  <si>
    <t>Africa</t>
  </si>
  <si>
    <t>NGN</t>
  </si>
  <si>
    <t>Bangladesh</t>
  </si>
  <si>
    <t>Bengali</t>
  </si>
  <si>
    <t>BDT</t>
  </si>
  <si>
    <t>Russia</t>
  </si>
  <si>
    <t>Europe</t>
  </si>
  <si>
    <t>Russian</t>
  </si>
  <si>
    <t>RUB</t>
  </si>
  <si>
    <t>Mexico</t>
  </si>
  <si>
    <t>Spanish</t>
  </si>
  <si>
    <t>MXN</t>
  </si>
  <si>
    <t>Japan</t>
  </si>
  <si>
    <t>Japanese</t>
  </si>
  <si>
    <t>JPY</t>
  </si>
  <si>
    <t>Ethiopia</t>
  </si>
  <si>
    <t>Amharic</t>
  </si>
  <si>
    <t>ETB</t>
  </si>
  <si>
    <t>Philippines</t>
  </si>
  <si>
    <t>Tagalog</t>
  </si>
  <si>
    <t>PHP</t>
  </si>
  <si>
    <t>Egypt</t>
  </si>
  <si>
    <t>Modern Standard Arabic</t>
  </si>
  <si>
    <t>EGP</t>
  </si>
  <si>
    <t>Vietnam</t>
  </si>
  <si>
    <t>Vietnamese</t>
  </si>
  <si>
    <t>VND</t>
  </si>
  <si>
    <t>Democratic Republic of the Congo</t>
  </si>
  <si>
    <t>French</t>
  </si>
  <si>
    <t>CDF</t>
  </si>
  <si>
    <t>Iran</t>
  </si>
  <si>
    <t>Persian</t>
  </si>
  <si>
    <t>IRR</t>
  </si>
  <si>
    <t>Turkey</t>
  </si>
  <si>
    <t>Turkish</t>
  </si>
  <si>
    <t>TRY</t>
  </si>
  <si>
    <t>Germany</t>
  </si>
  <si>
    <t>German</t>
  </si>
  <si>
    <t>EUR</t>
  </si>
  <si>
    <t>France</t>
  </si>
  <si>
    <t>United Kingdom</t>
  </si>
  <si>
    <t>GBP</t>
  </si>
  <si>
    <t>Thailand</t>
  </si>
  <si>
    <t>Thai</t>
  </si>
  <si>
    <t>THB</t>
  </si>
  <si>
    <t>South Africa</t>
  </si>
  <si>
    <t>Zulu</t>
  </si>
  <si>
    <t>ZAR</t>
  </si>
  <si>
    <t>Tanzania</t>
  </si>
  <si>
    <t>Swahili</t>
  </si>
  <si>
    <t>TSH</t>
  </si>
  <si>
    <t>Italy</t>
  </si>
  <si>
    <t>Italian</t>
  </si>
  <si>
    <t>Myanmar</t>
  </si>
  <si>
    <t>Burmese</t>
  </si>
  <si>
    <t>MMK</t>
  </si>
  <si>
    <t>South Korea</t>
  </si>
  <si>
    <t>Korean</t>
  </si>
  <si>
    <t>KRW</t>
  </si>
  <si>
    <t>Colombia</t>
  </si>
  <si>
    <t>COP</t>
  </si>
  <si>
    <t>Kenya</t>
  </si>
  <si>
    <t>Kiswahili</t>
  </si>
  <si>
    <t>KES</t>
  </si>
  <si>
    <t>Spain</t>
  </si>
  <si>
    <t>Below is the list of top 30 countries in the world by Population.</t>
  </si>
  <si>
    <t>Answer the following questions:</t>
  </si>
  <si>
    <t>How many Spanish speaking countries that are located in South America can be found in the table?</t>
  </si>
  <si>
    <t>How many countries have population greater than 100 million, and Area less than 1,000,000 Square KM?</t>
  </si>
  <si>
    <t>Answere</t>
  </si>
  <si>
    <t>////countifs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</si>
</sst>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6DCE4"/>
        <bgColor rgb="FF000000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8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2" fillId="2" borderId="5" xfId="0" applyFont="1" applyFill="1" applyBorder="1"/>
    <xf numFmtId="0" fontId="1" fillId="0" borderId="6" xfId="0" applyFont="1" applyBorder="1"/>
    <xf numFmtId="0" fontId="1" fillId="0" borderId="7" xfId="0" applyFont="1" applyBorder="1"/>
    <xf numFmtId="0" fontId="2" fillId="2" borderId="8" xfId="0" applyFont="1" applyFill="1" applyBorder="1"/>
    <xf numFmtId="0" fontId="1" fillId="0" borderId="9" xfId="0" applyFont="1" applyBorder="1"/>
    <xf numFmtId="0" fontId="1" fillId="0" borderId="10" xfId="0" applyFont="1" applyBorder="1"/>
    <xf numFmtId="0" fontId="2" fillId="2" borderId="4" xfId="0" applyFont="1" applyFill="1" applyBorder="1"/>
    <xf numFmtId="3" fontId="1" fillId="0" borderId="4" xfId="0" applyNumberFormat="1" applyFont="1" applyBorder="1"/>
    <xf numFmtId="0" fontId="1" fillId="0" borderId="0" xfId="0" applyFont="1"/>
    <xf numFmtId="0" fontId="2" fillId="0" borderId="0" xfId="0" applyFont="1"/>
    <xf numFmtId="0" fontId="1" fillId="0" borderId="0" xfId="0" applyFont="1" applyFill="1"/>
    <xf numFmtId="0" fontId="0" fillId="0" borderId="0" xfId="0"/>
    <xf numFmtId="0" fontId="2" fillId="2" borderId="5" xfId="0" applyFont="1" applyFill="1" applyBorder="1"/>
    <xf numFmtId="0" fontId="1" fillId="0" borderId="6" xfId="0" applyFont="1" applyBorder="1"/>
    <xf numFmtId="0" fontId="2" fillId="0" borderId="4" xfId="0" applyFont="1" applyBorder="1"/>
    <xf numFmtId="0" fontId="2" fillId="3" borderId="4" xfId="0" applyFont="1" applyFill="1" applyBorder="1"/>
    <xf numFmtId="0" fontId="1" fillId="0" borderId="9" xfId="0" applyFont="1" applyBorder="1" applyAlignment="1">
      <alignment wrapText="1"/>
    </xf>
    <xf numFmtId="0" fontId="1" fillId="0" borderId="10" xfId="0" applyFont="1" applyBorder="1" applyAlignment="1">
      <alignment wrapText="1"/>
    </xf>
    <xf numFmtId="3" fontId="1" fillId="0" borderId="6" xfId="0" applyNumberFormat="1" applyFont="1" applyBorder="1"/>
    <xf numFmtId="3" fontId="1" fillId="0" borderId="7" xfId="0" applyNumberFormat="1" applyFont="1" applyBorder="1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7C8EB8-56D6-458C-98CE-71D2338EC08C}" name="Table1" displayName="Table1" ref="A1:G31" totalsRowShown="0" tableBorderDxfId="7">
  <autoFilter ref="A1:G31" xr:uid="{EE7C8EB8-56D6-458C-98CE-71D2338EC08C}"/>
  <tableColumns count="7">
    <tableColumn id="1" xr3:uid="{6DB35115-23C4-415D-9BA9-4ED463DCA831}" name="Country" dataDxfId="6"/>
    <tableColumn id="2" xr3:uid="{91C3C0B2-C23B-46D3-B80C-A5FE36D0FECE}" name="Continent" dataDxfId="5"/>
    <tableColumn id="3" xr3:uid="{3BD54CF2-B0D2-4174-93F4-5D879E4CE9DB}" name="Official/Primary Language" dataDxfId="4"/>
    <tableColumn id="4" xr3:uid="{CB229D1C-86CF-44B9-99F1-596520D8D113}" name="Population" dataDxfId="3"/>
    <tableColumn id="5" xr3:uid="{D8C3A30D-2A7D-4F8C-A377-970E0B97EA69}" name="Area (Square KM)" dataDxfId="2"/>
    <tableColumn id="6" xr3:uid="{2E217F5A-BF1F-415E-A39E-092337903EA9}" name="Currency " dataDxfId="1"/>
    <tableColumn id="7" xr3:uid="{58991413-D8DD-449F-9D6A-64080E17A4D1}" name="GDP (Billions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93B35-2BDC-45B1-9903-B8B04DEED9E5}">
  <dimension ref="A1:I40"/>
  <sheetViews>
    <sheetView tabSelected="1" topLeftCell="A20" workbookViewId="0">
      <selection activeCell="C34" sqref="C34"/>
    </sheetView>
  </sheetViews>
  <sheetFormatPr defaultRowHeight="15" x14ac:dyDescent="0.25"/>
  <cols>
    <col min="1" max="1" width="22.42578125" customWidth="1"/>
    <col min="2" max="2" width="18.28515625" customWidth="1"/>
    <col min="3" max="3" width="26" customWidth="1"/>
    <col min="4" max="4" width="19" customWidth="1"/>
    <col min="5" max="5" width="18.7109375" customWidth="1"/>
    <col min="6" max="6" width="18" customWidth="1"/>
    <col min="7" max="7" width="18.85546875" customWidth="1"/>
  </cols>
  <sheetData>
    <row r="1" spans="1:7" x14ac:dyDescent="0.25">
      <c r="A1" s="1" t="s">
        <v>0</v>
      </c>
      <c r="B1" s="2" t="s">
        <v>1</v>
      </c>
      <c r="C1" s="5" t="s">
        <v>2</v>
      </c>
      <c r="D1" s="11" t="s">
        <v>3</v>
      </c>
      <c r="E1" s="11" t="s">
        <v>4</v>
      </c>
      <c r="F1" s="8" t="s">
        <v>5</v>
      </c>
      <c r="G1" s="17" t="s">
        <v>6</v>
      </c>
    </row>
    <row r="2" spans="1:7" x14ac:dyDescent="0.25">
      <c r="A2" s="21" t="s">
        <v>7</v>
      </c>
      <c r="B2" s="3" t="s">
        <v>8</v>
      </c>
      <c r="C2" s="6" t="s">
        <v>9</v>
      </c>
      <c r="D2" s="12">
        <v>1397715000</v>
      </c>
      <c r="E2" s="12">
        <v>9596960</v>
      </c>
      <c r="F2" s="9" t="s">
        <v>10</v>
      </c>
      <c r="G2" s="23">
        <v>14343</v>
      </c>
    </row>
    <row r="3" spans="1:7" x14ac:dyDescent="0.25">
      <c r="A3" s="21" t="s">
        <v>11</v>
      </c>
      <c r="B3" s="3" t="s">
        <v>8</v>
      </c>
      <c r="C3" s="6" t="s">
        <v>12</v>
      </c>
      <c r="D3" s="12">
        <v>1366417754</v>
      </c>
      <c r="E3" s="12">
        <v>3287263</v>
      </c>
      <c r="F3" s="9" t="s">
        <v>13</v>
      </c>
      <c r="G3" s="23">
        <v>2611</v>
      </c>
    </row>
    <row r="4" spans="1:7" x14ac:dyDescent="0.25">
      <c r="A4" s="21" t="s">
        <v>14</v>
      </c>
      <c r="B4" s="3" t="s">
        <v>15</v>
      </c>
      <c r="C4" s="6" t="s">
        <v>16</v>
      </c>
      <c r="D4" s="12">
        <v>328239523</v>
      </c>
      <c r="E4" s="12">
        <v>9833517</v>
      </c>
      <c r="F4" s="9" t="s">
        <v>17</v>
      </c>
      <c r="G4" s="23">
        <v>22675</v>
      </c>
    </row>
    <row r="5" spans="1:7" x14ac:dyDescent="0.25">
      <c r="A5" s="21" t="s">
        <v>18</v>
      </c>
      <c r="B5" s="3" t="s">
        <v>8</v>
      </c>
      <c r="C5" s="6" t="s">
        <v>19</v>
      </c>
      <c r="D5" s="12">
        <v>270203917</v>
      </c>
      <c r="E5" s="12">
        <v>1904569</v>
      </c>
      <c r="F5" s="9" t="s">
        <v>20</v>
      </c>
      <c r="G5" s="23">
        <v>1119</v>
      </c>
    </row>
    <row r="6" spans="1:7" x14ac:dyDescent="0.25">
      <c r="A6" s="21" t="s">
        <v>21</v>
      </c>
      <c r="B6" s="3" t="s">
        <v>8</v>
      </c>
      <c r="C6" s="6" t="s">
        <v>22</v>
      </c>
      <c r="D6" s="12">
        <v>216565318</v>
      </c>
      <c r="E6" s="12">
        <v>796095</v>
      </c>
      <c r="F6" s="9" t="s">
        <v>23</v>
      </c>
      <c r="G6" s="18">
        <v>304</v>
      </c>
    </row>
    <row r="7" spans="1:7" x14ac:dyDescent="0.25">
      <c r="A7" s="21" t="s">
        <v>24</v>
      </c>
      <c r="B7" s="3" t="s">
        <v>25</v>
      </c>
      <c r="C7" s="6" t="s">
        <v>26</v>
      </c>
      <c r="D7" s="12">
        <v>212559417</v>
      </c>
      <c r="E7" s="12">
        <v>8515770</v>
      </c>
      <c r="F7" s="9" t="s">
        <v>27</v>
      </c>
      <c r="G7" s="23">
        <v>1840</v>
      </c>
    </row>
    <row r="8" spans="1:7" x14ac:dyDescent="0.25">
      <c r="A8" s="21" t="s">
        <v>28</v>
      </c>
      <c r="B8" s="3" t="s">
        <v>29</v>
      </c>
      <c r="C8" s="6" t="s">
        <v>16</v>
      </c>
      <c r="D8" s="12">
        <v>200963599</v>
      </c>
      <c r="E8" s="12">
        <v>923768</v>
      </c>
      <c r="F8" s="9" t="s">
        <v>30</v>
      </c>
      <c r="G8" s="18">
        <v>448</v>
      </c>
    </row>
    <row r="9" spans="1:7" x14ac:dyDescent="0.25">
      <c r="A9" s="21" t="s">
        <v>31</v>
      </c>
      <c r="B9" s="3" t="s">
        <v>8</v>
      </c>
      <c r="C9" s="6" t="s">
        <v>32</v>
      </c>
      <c r="D9" s="12">
        <v>163046161</v>
      </c>
      <c r="E9" s="12">
        <v>148460</v>
      </c>
      <c r="F9" s="9" t="s">
        <v>33</v>
      </c>
      <c r="G9" s="18">
        <v>303</v>
      </c>
    </row>
    <row r="10" spans="1:7" x14ac:dyDescent="0.25">
      <c r="A10" s="21" t="s">
        <v>34</v>
      </c>
      <c r="B10" s="3" t="s">
        <v>35</v>
      </c>
      <c r="C10" s="6" t="s">
        <v>36</v>
      </c>
      <c r="D10" s="12">
        <v>144373535</v>
      </c>
      <c r="E10" s="12">
        <v>17098240</v>
      </c>
      <c r="F10" s="9" t="s">
        <v>37</v>
      </c>
      <c r="G10" s="23">
        <v>1700</v>
      </c>
    </row>
    <row r="11" spans="1:7" x14ac:dyDescent="0.25">
      <c r="A11" s="21" t="s">
        <v>38</v>
      </c>
      <c r="B11" s="3" t="s">
        <v>15</v>
      </c>
      <c r="C11" s="6" t="s">
        <v>39</v>
      </c>
      <c r="D11" s="12">
        <v>126014024</v>
      </c>
      <c r="E11" s="12">
        <v>1964375</v>
      </c>
      <c r="F11" s="9" t="s">
        <v>40</v>
      </c>
      <c r="G11" s="23">
        <v>1258</v>
      </c>
    </row>
    <row r="12" spans="1:7" x14ac:dyDescent="0.25">
      <c r="A12" s="21" t="s">
        <v>41</v>
      </c>
      <c r="B12" s="3" t="s">
        <v>8</v>
      </c>
      <c r="C12" s="6" t="s">
        <v>42</v>
      </c>
      <c r="D12" s="12">
        <v>126264931</v>
      </c>
      <c r="E12" s="12">
        <v>377944</v>
      </c>
      <c r="F12" s="9" t="s">
        <v>43</v>
      </c>
      <c r="G12" s="23">
        <v>5082</v>
      </c>
    </row>
    <row r="13" spans="1:7" x14ac:dyDescent="0.25">
      <c r="A13" s="21" t="s">
        <v>44</v>
      </c>
      <c r="B13" s="3" t="s">
        <v>29</v>
      </c>
      <c r="C13" s="6" t="s">
        <v>45</v>
      </c>
      <c r="D13" s="12">
        <v>112078730</v>
      </c>
      <c r="E13" s="12">
        <v>1104300</v>
      </c>
      <c r="F13" s="9" t="s">
        <v>46</v>
      </c>
      <c r="G13" s="18">
        <v>96</v>
      </c>
    </row>
    <row r="14" spans="1:7" x14ac:dyDescent="0.25">
      <c r="A14" s="21" t="s">
        <v>47</v>
      </c>
      <c r="B14" s="3" t="s">
        <v>8</v>
      </c>
      <c r="C14" s="6" t="s">
        <v>48</v>
      </c>
      <c r="D14" s="12">
        <v>108116615</v>
      </c>
      <c r="E14" s="12">
        <v>300000</v>
      </c>
      <c r="F14" s="9" t="s">
        <v>49</v>
      </c>
      <c r="G14" s="18">
        <v>377</v>
      </c>
    </row>
    <row r="15" spans="1:7" x14ac:dyDescent="0.25">
      <c r="A15" s="21" t="s">
        <v>50</v>
      </c>
      <c r="B15" s="3" t="s">
        <v>29</v>
      </c>
      <c r="C15" s="6" t="s">
        <v>51</v>
      </c>
      <c r="D15" s="12">
        <v>100388073</v>
      </c>
      <c r="E15" s="12">
        <v>1001450</v>
      </c>
      <c r="F15" s="9" t="s">
        <v>52</v>
      </c>
      <c r="G15" s="18">
        <v>303</v>
      </c>
    </row>
    <row r="16" spans="1:7" x14ac:dyDescent="0.25">
      <c r="A16" s="21" t="s">
        <v>53</v>
      </c>
      <c r="B16" s="3" t="s">
        <v>8</v>
      </c>
      <c r="C16" s="6" t="s">
        <v>54</v>
      </c>
      <c r="D16" s="12">
        <v>96462106</v>
      </c>
      <c r="E16" s="12">
        <v>331210</v>
      </c>
      <c r="F16" s="9" t="s">
        <v>55</v>
      </c>
      <c r="G16" s="18">
        <v>262</v>
      </c>
    </row>
    <row r="17" spans="1:7" ht="45" x14ac:dyDescent="0.25">
      <c r="A17" s="21" t="s">
        <v>56</v>
      </c>
      <c r="B17" s="3" t="s">
        <v>29</v>
      </c>
      <c r="C17" s="6" t="s">
        <v>57</v>
      </c>
      <c r="D17" s="12">
        <v>86790567</v>
      </c>
      <c r="E17" s="12">
        <v>2344858</v>
      </c>
      <c r="F17" s="9" t="s">
        <v>58</v>
      </c>
      <c r="G17" s="18">
        <v>47</v>
      </c>
    </row>
    <row r="18" spans="1:7" x14ac:dyDescent="0.25">
      <c r="A18" s="21" t="s">
        <v>59</v>
      </c>
      <c r="B18" s="3" t="s">
        <v>8</v>
      </c>
      <c r="C18" s="6" t="s">
        <v>60</v>
      </c>
      <c r="D18" s="12">
        <v>82913906</v>
      </c>
      <c r="E18" s="12">
        <v>1648195</v>
      </c>
      <c r="F18" s="9" t="s">
        <v>61</v>
      </c>
      <c r="G18" s="18">
        <v>445</v>
      </c>
    </row>
    <row r="19" spans="1:7" x14ac:dyDescent="0.25">
      <c r="A19" s="21" t="s">
        <v>62</v>
      </c>
      <c r="B19" s="3" t="s">
        <v>8</v>
      </c>
      <c r="C19" s="6" t="s">
        <v>63</v>
      </c>
      <c r="D19" s="12">
        <v>83429615</v>
      </c>
      <c r="E19" s="12">
        <v>783562</v>
      </c>
      <c r="F19" s="9" t="s">
        <v>64</v>
      </c>
      <c r="G19" s="18">
        <v>754</v>
      </c>
    </row>
    <row r="20" spans="1:7" x14ac:dyDescent="0.25">
      <c r="A20" s="21" t="s">
        <v>65</v>
      </c>
      <c r="B20" s="3" t="s">
        <v>35</v>
      </c>
      <c r="C20" s="6" t="s">
        <v>66</v>
      </c>
      <c r="D20" s="12">
        <v>83132799</v>
      </c>
      <c r="E20" s="12">
        <v>357022</v>
      </c>
      <c r="F20" s="9" t="s">
        <v>67</v>
      </c>
      <c r="G20" s="23">
        <v>3846</v>
      </c>
    </row>
    <row r="21" spans="1:7" x14ac:dyDescent="0.25">
      <c r="A21" s="21" t="s">
        <v>68</v>
      </c>
      <c r="B21" s="3" t="s">
        <v>35</v>
      </c>
      <c r="C21" s="6" t="s">
        <v>57</v>
      </c>
      <c r="D21" s="12">
        <v>67059887</v>
      </c>
      <c r="E21" s="12">
        <v>643801</v>
      </c>
      <c r="F21" s="9" t="s">
        <v>67</v>
      </c>
      <c r="G21" s="23">
        <v>2716</v>
      </c>
    </row>
    <row r="22" spans="1:7" x14ac:dyDescent="0.25">
      <c r="A22" s="21" t="s">
        <v>69</v>
      </c>
      <c r="B22" s="3" t="s">
        <v>35</v>
      </c>
      <c r="C22" s="6" t="s">
        <v>16</v>
      </c>
      <c r="D22" s="12">
        <v>66834405</v>
      </c>
      <c r="E22" s="12">
        <v>243610</v>
      </c>
      <c r="F22" s="9" t="s">
        <v>70</v>
      </c>
      <c r="G22" s="23">
        <v>2827</v>
      </c>
    </row>
    <row r="23" spans="1:7" x14ac:dyDescent="0.25">
      <c r="A23" s="21" t="s">
        <v>71</v>
      </c>
      <c r="B23" s="3" t="s">
        <v>8</v>
      </c>
      <c r="C23" s="6" t="s">
        <v>72</v>
      </c>
      <c r="D23" s="12">
        <v>69625582</v>
      </c>
      <c r="E23" s="12">
        <v>513120</v>
      </c>
      <c r="F23" s="9" t="s">
        <v>73</v>
      </c>
      <c r="G23" s="18">
        <v>544</v>
      </c>
    </row>
    <row r="24" spans="1:7" x14ac:dyDescent="0.25">
      <c r="A24" s="21" t="s">
        <v>74</v>
      </c>
      <c r="B24" s="3" t="s">
        <v>29</v>
      </c>
      <c r="C24" s="6" t="s">
        <v>75</v>
      </c>
      <c r="D24" s="12">
        <v>58558270</v>
      </c>
      <c r="E24" s="12">
        <v>1219090</v>
      </c>
      <c r="F24" s="9" t="s">
        <v>76</v>
      </c>
      <c r="G24" s="18">
        <v>351</v>
      </c>
    </row>
    <row r="25" spans="1:7" x14ac:dyDescent="0.25">
      <c r="A25" s="21" t="s">
        <v>77</v>
      </c>
      <c r="B25" s="3" t="s">
        <v>29</v>
      </c>
      <c r="C25" s="6" t="s">
        <v>78</v>
      </c>
      <c r="D25" s="12">
        <v>58005463</v>
      </c>
      <c r="E25" s="12">
        <v>947300</v>
      </c>
      <c r="F25" s="9" t="s">
        <v>79</v>
      </c>
      <c r="G25" s="18">
        <v>63</v>
      </c>
    </row>
    <row r="26" spans="1:7" x14ac:dyDescent="0.25">
      <c r="A26" s="21" t="s">
        <v>80</v>
      </c>
      <c r="B26" s="3" t="s">
        <v>35</v>
      </c>
      <c r="C26" s="6" t="s">
        <v>81</v>
      </c>
      <c r="D26" s="12">
        <v>60297396</v>
      </c>
      <c r="E26" s="12">
        <v>301340</v>
      </c>
      <c r="F26" s="9" t="s">
        <v>67</v>
      </c>
      <c r="G26" s="23">
        <v>2001</v>
      </c>
    </row>
    <row r="27" spans="1:7" x14ac:dyDescent="0.25">
      <c r="A27" s="21" t="s">
        <v>82</v>
      </c>
      <c r="B27" s="3" t="s">
        <v>8</v>
      </c>
      <c r="C27" s="6" t="s">
        <v>83</v>
      </c>
      <c r="D27" s="12">
        <v>54045420</v>
      </c>
      <c r="E27" s="12">
        <v>676578</v>
      </c>
      <c r="F27" s="9" t="s">
        <v>84</v>
      </c>
      <c r="G27" s="18">
        <v>76</v>
      </c>
    </row>
    <row r="28" spans="1:7" x14ac:dyDescent="0.25">
      <c r="A28" s="21" t="s">
        <v>85</v>
      </c>
      <c r="B28" s="3" t="s">
        <v>8</v>
      </c>
      <c r="C28" s="6" t="s">
        <v>86</v>
      </c>
      <c r="D28" s="12">
        <v>51709098</v>
      </c>
      <c r="E28" s="12">
        <v>99720</v>
      </c>
      <c r="F28" s="9" t="s">
        <v>87</v>
      </c>
      <c r="G28" s="23">
        <v>2029</v>
      </c>
    </row>
    <row r="29" spans="1:7" x14ac:dyDescent="0.25">
      <c r="A29" s="21" t="s">
        <v>88</v>
      </c>
      <c r="B29" s="3" t="s">
        <v>25</v>
      </c>
      <c r="C29" s="6" t="s">
        <v>39</v>
      </c>
      <c r="D29" s="12">
        <v>50339443</v>
      </c>
      <c r="E29" s="12">
        <v>1138910</v>
      </c>
      <c r="F29" s="9" t="s">
        <v>89</v>
      </c>
      <c r="G29" s="18">
        <v>324</v>
      </c>
    </row>
    <row r="30" spans="1:7" x14ac:dyDescent="0.25">
      <c r="A30" s="21" t="s">
        <v>90</v>
      </c>
      <c r="B30" s="3" t="s">
        <v>29</v>
      </c>
      <c r="C30" s="6" t="s">
        <v>91</v>
      </c>
      <c r="D30" s="12">
        <v>52573973</v>
      </c>
      <c r="E30" s="12">
        <v>580367</v>
      </c>
      <c r="F30" s="9" t="s">
        <v>92</v>
      </c>
      <c r="G30" s="18">
        <v>96</v>
      </c>
    </row>
    <row r="31" spans="1:7" ht="15.75" thickBot="1" x14ac:dyDescent="0.3">
      <c r="A31" s="22" t="s">
        <v>93</v>
      </c>
      <c r="B31" s="4" t="s">
        <v>35</v>
      </c>
      <c r="C31" s="7" t="s">
        <v>39</v>
      </c>
      <c r="D31" s="12">
        <v>47076781</v>
      </c>
      <c r="E31" s="12">
        <v>505370</v>
      </c>
      <c r="F31" s="10" t="s">
        <v>67</v>
      </c>
      <c r="G31" s="24">
        <v>1394</v>
      </c>
    </row>
    <row r="36" spans="1:9" x14ac:dyDescent="0.25">
      <c r="A36" s="14" t="s">
        <v>94</v>
      </c>
      <c r="B36" s="13"/>
      <c r="C36" s="13"/>
      <c r="D36" s="13"/>
      <c r="E36" s="13"/>
      <c r="F36" s="13"/>
    </row>
    <row r="37" spans="1:9" x14ac:dyDescent="0.25">
      <c r="A37" s="13" t="s">
        <v>95</v>
      </c>
      <c r="B37" s="13"/>
      <c r="C37" s="13"/>
      <c r="D37" s="13"/>
      <c r="E37" s="13"/>
      <c r="F37" s="13"/>
    </row>
    <row r="38" spans="1:9" x14ac:dyDescent="0.25">
      <c r="A38" s="13"/>
      <c r="B38" s="13"/>
      <c r="C38" s="13"/>
      <c r="D38" s="13"/>
      <c r="E38" s="13"/>
      <c r="F38" s="19" t="s">
        <v>98</v>
      </c>
    </row>
    <row r="39" spans="1:9" x14ac:dyDescent="0.25">
      <c r="A39" s="13" t="s">
        <v>96</v>
      </c>
      <c r="B39" s="13"/>
      <c r="C39" s="13"/>
      <c r="D39" s="15"/>
      <c r="E39" s="13"/>
      <c r="F39" s="20">
        <v>1</v>
      </c>
      <c r="H39">
        <f>COUNTIFS($C$2:$C$31,"spanish",$B$2:$B$31,"south america")</f>
        <v>1</v>
      </c>
      <c r="I39" t="s">
        <v>99</v>
      </c>
    </row>
    <row r="40" spans="1:9" x14ac:dyDescent="0.25">
      <c r="A40" s="13" t="s">
        <v>97</v>
      </c>
      <c r="B40" s="13"/>
      <c r="C40" s="13"/>
      <c r="D40" s="15"/>
      <c r="E40" s="13"/>
      <c r="F40" s="20">
        <v>5</v>
      </c>
      <c r="H40">
        <f>COUNTIFS($D$2:$D$31,"&gt;100000000",$E$2:$E$31,"&lt;1000000")</f>
        <v>5</v>
      </c>
      <c r="I40" s="16" t="s">
        <v>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Exercise-1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2025-08-13T11:52:50Z</dcterms:created>
  <dcterms:modified xsi:type="dcterms:W3CDTF">2025-08-13T12:10:34Z</dcterms:modified>
</cp:coreProperties>
</file>