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13_ncr:1_{31748522-6604-4AB3-847A-A8ED5D15A583}" xr6:coauthVersionLast="47" xr6:coauthVersionMax="47" xr10:uidLastSave="{00000000-0000-0000-0000-000000000000}"/>
  <bookViews>
    <workbookView xWindow="-120" yWindow="-120" windowWidth="20730" windowHeight="11160" xr2:uid="{05026AAA-3137-4CA2-A554-EF1484767668}"/>
  </bookViews>
  <sheets>
    <sheet name="Exercise 1-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36" i="1" l="1"/>
  <c r="H314" i="1"/>
  <c r="H311" i="1"/>
  <c r="H312" i="1"/>
  <c r="H313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10" i="1"/>
  <c r="H209" i="1"/>
  <c r="H210" i="1"/>
  <c r="H211" i="1"/>
  <c r="H208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72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3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54" i="1"/>
  <c r="H3" i="1"/>
  <c r="J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</calcChain>
</file>

<file path=xl/sharedStrings.xml><?xml version="1.0" encoding="utf-8"?>
<sst xmlns="http://schemas.openxmlformats.org/spreadsheetml/2006/main" count="759" uniqueCount="76">
  <si>
    <t>Exercise 01:</t>
  </si>
  <si>
    <t>First Delivery Date</t>
  </si>
  <si>
    <t>First Product</t>
  </si>
  <si>
    <t>Cost</t>
  </si>
  <si>
    <t>Second Delivery Date</t>
  </si>
  <si>
    <t>Second Product</t>
  </si>
  <si>
    <t>Delivery Person</t>
  </si>
  <si>
    <t>Delivered Laptop Twice</t>
  </si>
  <si>
    <t>Laptop</t>
  </si>
  <si>
    <t>Mobile Phone</t>
  </si>
  <si>
    <t>Sam</t>
  </si>
  <si>
    <t>Janet</t>
  </si>
  <si>
    <t>Leonardo</t>
  </si>
  <si>
    <t>Patrick</t>
  </si>
  <si>
    <t>Heather</t>
  </si>
  <si>
    <t>Fitness Tracker</t>
  </si>
  <si>
    <t>Daniel</t>
  </si>
  <si>
    <t>Stewart</t>
  </si>
  <si>
    <t>Smart Watch</t>
  </si>
  <si>
    <t>Tablet</t>
  </si>
  <si>
    <t>///and</t>
  </si>
  <si>
    <t>Cost2</t>
  </si>
  <si>
    <t>Exercise 02:</t>
  </si>
  <si>
    <t>Laptop Delivered</t>
  </si>
  <si>
    <t>/////A3&lt;&gt;" " checks if the delivery date cell is not blank.</t>
  </si>
  <si>
    <t>////AND checks product  + date</t>
  </si>
  <si>
    <t>///OR combines first and second delivery checks also returns True one of the condition is satisfied</t>
  </si>
  <si>
    <t>Exercise 03:</t>
  </si>
  <si>
    <t>Same Day Delivered</t>
  </si>
  <si>
    <t>///&lt;&gt; " " checks exact cell of date empty or not</t>
  </si>
  <si>
    <t>///A3=D3 checks dates are same</t>
  </si>
  <si>
    <t>///AND returns true both are true</t>
  </si>
  <si>
    <t>Exercise 04:</t>
  </si>
  <si>
    <t>Estimated Delivery Date</t>
  </si>
  <si>
    <t>Delivery Date</t>
  </si>
  <si>
    <t>Delivery Channel</t>
  </si>
  <si>
    <t>Delivery Company</t>
  </si>
  <si>
    <t>Laptop or Mobile Delivered by Astro</t>
  </si>
  <si>
    <t>Delivery Van</t>
  </si>
  <si>
    <t>Astro</t>
  </si>
  <si>
    <t>Bike</t>
  </si>
  <si>
    <t>Chiral</t>
  </si>
  <si>
    <t>Rented Car</t>
  </si>
  <si>
    <t>Umbrella</t>
  </si>
  <si>
    <t>Jennie</t>
  </si>
  <si>
    <t xml:space="preserve">lap or phone by astro </t>
  </si>
  <si>
    <t>OR</t>
  </si>
  <si>
    <t>astro</t>
  </si>
  <si>
    <t>and</t>
  </si>
  <si>
    <t>Exercise 05:</t>
  </si>
  <si>
    <t>Delivery Type</t>
  </si>
  <si>
    <t>Exercise 06:</t>
  </si>
  <si>
    <t>Commission</t>
  </si>
  <si>
    <t>Exercise 07 :</t>
  </si>
  <si>
    <t>//cost*commission/100</t>
  </si>
  <si>
    <t>Exercise 08:</t>
  </si>
  <si>
    <t>Exercise 09</t>
  </si>
  <si>
    <t>Eligible to Leave</t>
  </si>
  <si>
    <t>Rachel</t>
  </si>
  <si>
    <t>Ross</t>
  </si>
  <si>
    <t>Joey</t>
  </si>
  <si>
    <t>Chandler</t>
  </si>
  <si>
    <t>Monica</t>
  </si>
  <si>
    <t>Phoebe</t>
  </si>
  <si>
    <t>Ben</t>
  </si>
  <si>
    <t>Adam</t>
  </si>
  <si>
    <t>Rowan</t>
  </si>
  <si>
    <t>Ellie</t>
  </si>
  <si>
    <t>Britt</t>
  </si>
  <si>
    <t>Alan</t>
  </si>
  <si>
    <t>Hamish</t>
  </si>
  <si>
    <t>Byron</t>
  </si>
  <si>
    <t>Clark</t>
  </si>
  <si>
    <t>Morrison</t>
  </si>
  <si>
    <t>Parkinson</t>
  </si>
  <si>
    <t>Coll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</si>
</sst>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164" formatCode="[$-409]d/mmm/yy;@"/>
  </numFmts>
  <fonts count="4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sz val="12"/>
      <color rgb="FF000000"/>
      <name val="Calibri"/>
      <family val="2"/>
    </font>
    <font>
      <b/>
      <sz val="14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E699"/>
        <bgColor rgb="FF000000"/>
      </patternFill>
    </fill>
    <fill>
      <patternFill patternType="solid">
        <fgColor rgb="FF9BE5FF"/>
        <bgColor rgb="FF000000"/>
      </patternFill>
    </fill>
    <fill>
      <patternFill patternType="solid">
        <fgColor rgb="FFE5F8FF"/>
        <bgColor rgb="FF000000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120">
    <xf numFmtId="0" fontId="0" fillId="0" borderId="0" xfId="0"/>
    <xf numFmtId="0" fontId="2" fillId="0" borderId="0" xfId="1" applyFont="1">
      <alignment vertical="center"/>
    </xf>
    <xf numFmtId="0" fontId="3" fillId="0" borderId="0" xfId="1" applyFont="1">
      <alignment vertical="center"/>
    </xf>
    <xf numFmtId="0" fontId="2" fillId="0" borderId="4" xfId="1" applyFont="1" applyBorder="1" applyAlignment="1">
      <alignment horizontal="center" vertical="center"/>
    </xf>
    <xf numFmtId="8" fontId="2" fillId="0" borderId="4" xfId="1" applyNumberFormat="1" applyFont="1" applyBorder="1" applyAlignment="1">
      <alignment horizontal="center" vertical="center"/>
    </xf>
    <xf numFmtId="164" fontId="2" fillId="0" borderId="4" xfId="1" applyNumberFormat="1" applyFont="1" applyBorder="1" applyAlignment="1">
      <alignment horizontal="center" vertical="center"/>
    </xf>
    <xf numFmtId="6" fontId="2" fillId="0" borderId="4" xfId="1" applyNumberFormat="1" applyFont="1" applyBorder="1" applyAlignment="1">
      <alignment horizontal="center" vertical="center"/>
    </xf>
    <xf numFmtId="0" fontId="3" fillId="2" borderId="4" xfId="1" applyFont="1" applyFill="1" applyBorder="1" applyAlignment="1">
      <alignment horizontal="center" vertical="center" wrapText="1"/>
    </xf>
    <xf numFmtId="164" fontId="2" fillId="0" borderId="6" xfId="1" applyNumberFormat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6" fontId="2" fillId="0" borderId="6" xfId="1" applyNumberFormat="1" applyFont="1" applyBorder="1" applyAlignment="1">
      <alignment horizontal="center" vertical="center"/>
    </xf>
    <xf numFmtId="0" fontId="2" fillId="4" borderId="5" xfId="1" applyFont="1" applyFill="1" applyBorder="1" applyAlignment="1">
      <alignment horizontal="center" vertical="center"/>
    </xf>
    <xf numFmtId="0" fontId="3" fillId="3" borderId="5" xfId="1" applyFont="1" applyFill="1" applyBorder="1" applyAlignment="1">
      <alignment horizontal="center" vertical="center" wrapText="1"/>
    </xf>
    <xf numFmtId="0" fontId="2" fillId="4" borderId="0" xfId="1" applyFont="1" applyFill="1" applyBorder="1" applyAlignment="1">
      <alignment horizontal="center" vertical="center"/>
    </xf>
    <xf numFmtId="0" fontId="2" fillId="0" borderId="0" xfId="1" applyFont="1">
      <alignment vertical="center"/>
    </xf>
    <xf numFmtId="0" fontId="3" fillId="0" borderId="0" xfId="1" applyFont="1">
      <alignment vertical="center"/>
    </xf>
    <xf numFmtId="0" fontId="3" fillId="2" borderId="1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164" fontId="2" fillId="0" borderId="3" xfId="1" applyNumberFormat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8" fontId="2" fillId="0" borderId="4" xfId="1" applyNumberFormat="1" applyFont="1" applyBorder="1" applyAlignment="1">
      <alignment horizontal="center" vertical="center"/>
    </xf>
    <xf numFmtId="164" fontId="2" fillId="0" borderId="4" xfId="1" applyNumberFormat="1" applyFont="1" applyBorder="1" applyAlignment="1">
      <alignment horizontal="center" vertical="center"/>
    </xf>
    <xf numFmtId="6" fontId="2" fillId="0" borderId="4" xfId="1" applyNumberFormat="1" applyFont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 wrapText="1"/>
    </xf>
    <xf numFmtId="0" fontId="2" fillId="4" borderId="4" xfId="1" applyFont="1" applyFill="1" applyBorder="1" applyAlignment="1">
      <alignment horizontal="center" vertical="center"/>
    </xf>
    <xf numFmtId="0" fontId="2" fillId="0" borderId="0" xfId="1" applyFont="1">
      <alignment vertical="center"/>
    </xf>
    <xf numFmtId="0" fontId="3" fillId="0" borderId="0" xfId="1" applyFont="1">
      <alignment vertical="center"/>
    </xf>
    <xf numFmtId="0" fontId="3" fillId="2" borderId="1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164" fontId="2" fillId="0" borderId="3" xfId="1" applyNumberFormat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8" fontId="2" fillId="0" borderId="4" xfId="1" applyNumberFormat="1" applyFont="1" applyBorder="1" applyAlignment="1">
      <alignment horizontal="center" vertical="center"/>
    </xf>
    <xf numFmtId="164" fontId="2" fillId="0" borderId="4" xfId="1" applyNumberFormat="1" applyFont="1" applyBorder="1" applyAlignment="1">
      <alignment horizontal="center" vertical="center"/>
    </xf>
    <xf numFmtId="6" fontId="2" fillId="0" borderId="4" xfId="1" applyNumberFormat="1" applyFont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 wrapText="1"/>
    </xf>
    <xf numFmtId="0" fontId="2" fillId="4" borderId="4" xfId="1" applyFont="1" applyFill="1" applyBorder="1" applyAlignment="1">
      <alignment horizontal="center" vertical="center"/>
    </xf>
    <xf numFmtId="0" fontId="2" fillId="0" borderId="0" xfId="1" applyFont="1">
      <alignment vertical="center"/>
    </xf>
    <xf numFmtId="0" fontId="3" fillId="0" borderId="0" xfId="1" applyFont="1">
      <alignment vertical="center"/>
    </xf>
    <xf numFmtId="0" fontId="3" fillId="2" borderId="1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164" fontId="2" fillId="0" borderId="3" xfId="1" applyNumberFormat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8" fontId="2" fillId="0" borderId="4" xfId="1" applyNumberFormat="1" applyFont="1" applyBorder="1" applyAlignment="1">
      <alignment horizontal="center" vertical="center"/>
    </xf>
    <xf numFmtId="164" fontId="2" fillId="0" borderId="4" xfId="1" applyNumberFormat="1" applyFont="1" applyBorder="1" applyAlignment="1">
      <alignment horizontal="center" vertical="center"/>
    </xf>
    <xf numFmtId="6" fontId="2" fillId="0" borderId="4" xfId="1" applyNumberFormat="1" applyFont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 wrapText="1"/>
    </xf>
    <xf numFmtId="0" fontId="2" fillId="4" borderId="4" xfId="1" applyFont="1" applyFill="1" applyBorder="1" applyAlignment="1">
      <alignment horizontal="center" vertical="center"/>
    </xf>
    <xf numFmtId="0" fontId="2" fillId="0" borderId="0" xfId="1" applyFont="1">
      <alignment vertical="center"/>
    </xf>
    <xf numFmtId="0" fontId="3" fillId="0" borderId="0" xfId="1" applyFont="1">
      <alignment vertical="center"/>
    </xf>
    <xf numFmtId="0" fontId="3" fillId="2" borderId="1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164" fontId="2" fillId="0" borderId="3" xfId="1" applyNumberFormat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8" fontId="2" fillId="0" borderId="4" xfId="1" applyNumberFormat="1" applyFont="1" applyBorder="1" applyAlignment="1">
      <alignment horizontal="center" vertical="center"/>
    </xf>
    <xf numFmtId="164" fontId="2" fillId="0" borderId="4" xfId="1" applyNumberFormat="1" applyFont="1" applyBorder="1" applyAlignment="1">
      <alignment horizontal="center" vertical="center"/>
    </xf>
    <xf numFmtId="6" fontId="2" fillId="0" borderId="4" xfId="1" applyNumberFormat="1" applyFont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 wrapText="1"/>
    </xf>
    <xf numFmtId="9" fontId="2" fillId="4" borderId="4" xfId="1" applyNumberFormat="1" applyFont="1" applyFill="1" applyBorder="1" applyAlignment="1">
      <alignment horizontal="center" vertical="center"/>
    </xf>
    <xf numFmtId="0" fontId="2" fillId="0" borderId="0" xfId="1" applyFont="1">
      <alignment vertical="center"/>
    </xf>
    <xf numFmtId="0" fontId="3" fillId="0" borderId="0" xfId="1" applyFont="1">
      <alignment vertical="center"/>
    </xf>
    <xf numFmtId="0" fontId="3" fillId="2" borderId="1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164" fontId="2" fillId="0" borderId="3" xfId="1" applyNumberFormat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8" fontId="2" fillId="0" borderId="4" xfId="1" applyNumberFormat="1" applyFont="1" applyBorder="1" applyAlignment="1">
      <alignment horizontal="center" vertical="center"/>
    </xf>
    <xf numFmtId="164" fontId="2" fillId="0" borderId="4" xfId="1" applyNumberFormat="1" applyFont="1" applyBorder="1" applyAlignment="1">
      <alignment horizontal="center" vertical="center"/>
    </xf>
    <xf numFmtId="6" fontId="2" fillId="0" borderId="4" xfId="1" applyNumberFormat="1" applyFont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 wrapText="1"/>
    </xf>
    <xf numFmtId="9" fontId="2" fillId="4" borderId="4" xfId="1" applyNumberFormat="1" applyFont="1" applyFill="1" applyBorder="1" applyAlignment="1">
      <alignment horizontal="center" vertical="center"/>
    </xf>
    <xf numFmtId="9" fontId="2" fillId="4" borderId="4" xfId="1" applyNumberFormat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6" fontId="2" fillId="0" borderId="3" xfId="1" applyNumberFormat="1" applyFont="1" applyBorder="1" applyAlignment="1">
      <alignment horizontal="center" vertical="center"/>
    </xf>
    <xf numFmtId="9" fontId="2" fillId="0" borderId="4" xfId="1" applyNumberFormat="1" applyFont="1" applyBorder="1" applyAlignment="1">
      <alignment horizontal="center" vertical="center"/>
    </xf>
    <xf numFmtId="0" fontId="2" fillId="0" borderId="0" xfId="1" applyFont="1">
      <alignment vertical="center"/>
    </xf>
    <xf numFmtId="0" fontId="3" fillId="0" borderId="0" xfId="1" applyFont="1">
      <alignment vertical="center"/>
    </xf>
    <xf numFmtId="0" fontId="3" fillId="2" borderId="1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164" fontId="2" fillId="0" borderId="3" xfId="1" applyNumberFormat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8" fontId="2" fillId="0" borderId="4" xfId="1" applyNumberFormat="1" applyFont="1" applyBorder="1" applyAlignment="1">
      <alignment horizontal="center" vertical="center"/>
    </xf>
    <xf numFmtId="164" fontId="2" fillId="0" borderId="4" xfId="1" applyNumberFormat="1" applyFont="1" applyBorder="1" applyAlignment="1">
      <alignment horizontal="center" vertical="center"/>
    </xf>
    <xf numFmtId="6" fontId="2" fillId="0" borderId="4" xfId="1" applyNumberFormat="1" applyFont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 wrapText="1"/>
    </xf>
    <xf numFmtId="9" fontId="2" fillId="4" borderId="4" xfId="1" applyNumberFormat="1" applyFont="1" applyFill="1" applyBorder="1" applyAlignment="1">
      <alignment horizontal="center" vertical="center"/>
    </xf>
    <xf numFmtId="164" fontId="2" fillId="5" borderId="3" xfId="1" applyNumberFormat="1" applyFont="1" applyFill="1" applyBorder="1" applyAlignment="1">
      <alignment horizontal="center" vertical="center"/>
    </xf>
    <xf numFmtId="0" fontId="2" fillId="5" borderId="4" xfId="1" applyFont="1" applyFill="1" applyBorder="1" applyAlignment="1">
      <alignment horizontal="center" vertical="center"/>
    </xf>
    <xf numFmtId="8" fontId="2" fillId="5" borderId="4" xfId="1" applyNumberFormat="1" applyFont="1" applyFill="1" applyBorder="1" applyAlignment="1">
      <alignment horizontal="center" vertical="center"/>
    </xf>
    <xf numFmtId="164" fontId="2" fillId="5" borderId="4" xfId="1" applyNumberFormat="1" applyFont="1" applyFill="1" applyBorder="1" applyAlignment="1">
      <alignment horizontal="center" vertical="center"/>
    </xf>
    <xf numFmtId="9" fontId="2" fillId="4" borderId="4" xfId="1" applyNumberFormat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6" fontId="2" fillId="0" borderId="3" xfId="1" applyNumberFormat="1" applyFont="1" applyBorder="1" applyAlignment="1">
      <alignment horizontal="center" vertical="center"/>
    </xf>
    <xf numFmtId="9" fontId="2" fillId="0" borderId="4" xfId="1" applyNumberFormat="1" applyFont="1" applyBorder="1" applyAlignment="1">
      <alignment horizontal="center" vertical="center"/>
    </xf>
    <xf numFmtId="0" fontId="2" fillId="0" borderId="0" xfId="1" applyFont="1">
      <alignment vertical="center"/>
    </xf>
    <xf numFmtId="0" fontId="3" fillId="0" borderId="0" xfId="1" applyFont="1">
      <alignment vertical="center"/>
    </xf>
    <xf numFmtId="0" fontId="3" fillId="2" borderId="1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164" fontId="2" fillId="0" borderId="3" xfId="1" applyNumberFormat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8" fontId="2" fillId="0" borderId="4" xfId="1" applyNumberFormat="1" applyFont="1" applyBorder="1" applyAlignment="1">
      <alignment horizontal="center" vertical="center"/>
    </xf>
    <xf numFmtId="164" fontId="2" fillId="0" borderId="4" xfId="1" applyNumberFormat="1" applyFont="1" applyBorder="1" applyAlignment="1">
      <alignment horizontal="center" vertical="center"/>
    </xf>
    <xf numFmtId="6" fontId="2" fillId="0" borderId="4" xfId="1" applyNumberFormat="1" applyFont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 wrapText="1"/>
    </xf>
    <xf numFmtId="9" fontId="2" fillId="4" borderId="4" xfId="1" applyNumberFormat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6" fontId="2" fillId="0" borderId="3" xfId="1" applyNumberFormat="1" applyFont="1" applyBorder="1" applyAlignment="1">
      <alignment horizontal="center" vertical="center"/>
    </xf>
    <xf numFmtId="9" fontId="2" fillId="0" borderId="4" xfId="1" applyNumberFormat="1" applyFont="1" applyBorder="1" applyAlignment="1">
      <alignment horizontal="center" vertical="center"/>
    </xf>
    <xf numFmtId="0" fontId="2" fillId="0" borderId="0" xfId="1" applyFont="1">
      <alignment vertical="center"/>
    </xf>
    <xf numFmtId="0" fontId="3" fillId="0" borderId="0" xfId="1" applyFont="1">
      <alignment vertical="center"/>
    </xf>
    <xf numFmtId="0" fontId="3" fillId="2" borderId="1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164" fontId="2" fillId="0" borderId="3" xfId="1" applyNumberFormat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8" fontId="2" fillId="0" borderId="4" xfId="1" applyNumberFormat="1" applyFont="1" applyBorder="1" applyAlignment="1">
      <alignment horizontal="center" vertical="center"/>
    </xf>
    <xf numFmtId="164" fontId="2" fillId="0" borderId="4" xfId="1" applyNumberFormat="1" applyFont="1" applyBorder="1" applyAlignment="1">
      <alignment horizontal="center" vertical="center"/>
    </xf>
    <xf numFmtId="6" fontId="2" fillId="0" borderId="4" xfId="1" applyNumberFormat="1" applyFont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 wrapText="1"/>
    </xf>
    <xf numFmtId="9" fontId="2" fillId="4" borderId="4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2647A573-8BCF-44F1-A2EF-4697FD276833}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solid">
          <fgColor rgb="FF000000"/>
          <bgColor rgb="FFE5F8FF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10" formatCode="&quot;$&quot;#,##0_);[Red]\(&quot;$&quot;#,##0\)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164" formatCode="[$-409]d/mmm/yy;@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10" formatCode="&quot;$&quot;#,##0_);[Red]\(&quot;$&quot;#,##0\)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164" formatCode="[$-409]d/mmm/yy;@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fill>
        <patternFill patternType="solid">
          <fgColor rgb="FF000000"/>
          <bgColor rgb="FFFFE699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2" Type="http://schemas.openxmlformats.org/officeDocument/2006/relationships/image" Target="NULL" TargetMode="External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11" Type="http://schemas.openxmlformats.org/officeDocument/2006/relationships/image" Target="../media/image10.png"/><Relationship Id="rId5" Type="http://schemas.openxmlformats.org/officeDocument/2006/relationships/image" Target="../media/image4.png"/><Relationship Id="rId10" Type="http://schemas.openxmlformats.org/officeDocument/2006/relationships/image" Target="../media/image9.png"/><Relationship Id="rId4" Type="http://schemas.openxmlformats.org/officeDocument/2006/relationships/image" Target="../media/image3.png"/><Relationship Id="rId9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26</xdr:row>
      <xdr:rowOff>0</xdr:rowOff>
    </xdr:from>
    <xdr:to>
      <xdr:col>4</xdr:col>
      <xdr:colOff>619125</xdr:colOff>
      <xdr:row>35</xdr:row>
      <xdr:rowOff>0</xdr:rowOff>
    </xdr:to>
    <xdr:pic>
      <xdr:nvPicPr>
        <xdr:cNvPr id="2" name="Flowchart: Alternate Process 3">
          <a:extLst>
            <a:ext uri="{FF2B5EF4-FFF2-40B4-BE49-F238E27FC236}">
              <a16:creationId xmlns:a16="http://schemas.microsoft.com/office/drawing/2014/main" id="{0A104210-A165-4216-8AD6-DDDDDEFBB513}"/>
            </a:ext>
          </a:extLst>
        </xdr:cNvPr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0" y="6191250"/>
          <a:ext cx="6743700" cy="1714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</xdr:colOff>
      <xdr:row>38</xdr:row>
      <xdr:rowOff>1</xdr:rowOff>
    </xdr:from>
    <xdr:to>
      <xdr:col>4</xdr:col>
      <xdr:colOff>619126</xdr:colOff>
      <xdr:row>46</xdr:row>
      <xdr:rowOff>95251</xdr:rowOff>
    </xdr:to>
    <xdr:pic>
      <xdr:nvPicPr>
        <xdr:cNvPr id="3" name="Speech Bubble: Rectangle with Corners Rounded 2">
          <a:extLst>
            <a:ext uri="{FF2B5EF4-FFF2-40B4-BE49-F238E27FC236}">
              <a16:creationId xmlns:a16="http://schemas.microsoft.com/office/drawing/2014/main" id="{D372B486-A479-4D10-B910-375E4F29CFD1}"/>
            </a:ext>
          </a:extLst>
        </xdr:cNvPr>
        <xdr:cNvPicPr/>
      </xdr:nvPicPr>
      <xdr:blipFill>
        <a:blip xmlns:r="http://schemas.openxmlformats.org/officeDocument/2006/relationships" r:embed="rId3" r:link="rId2"/>
        <a:stretch>
          <a:fillRect/>
        </a:stretch>
      </xdr:blipFill>
      <xdr:spPr>
        <a:xfrm>
          <a:off x="1" y="8477251"/>
          <a:ext cx="6743700" cy="1619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76</xdr:row>
      <xdr:rowOff>0</xdr:rowOff>
    </xdr:from>
    <xdr:to>
      <xdr:col>4</xdr:col>
      <xdr:colOff>1152525</xdr:colOff>
      <xdr:row>84</xdr:row>
      <xdr:rowOff>104775</xdr:rowOff>
    </xdr:to>
    <xdr:pic>
      <xdr:nvPicPr>
        <xdr:cNvPr id="4" name="Speech Bubble: Rectangle with Corners Rounded 5">
          <a:extLst>
            <a:ext uri="{FF2B5EF4-FFF2-40B4-BE49-F238E27FC236}">
              <a16:creationId xmlns:a16="http://schemas.microsoft.com/office/drawing/2014/main" id="{0226E897-B1C5-46D0-A3A2-EE598D5ABC6B}"/>
            </a:ext>
          </a:extLst>
        </xdr:cNvPr>
        <xdr:cNvPicPr/>
      </xdr:nvPicPr>
      <xdr:blipFill>
        <a:blip xmlns:r="http://schemas.openxmlformats.org/officeDocument/2006/relationships" r:embed="rId4" r:link="rId2"/>
        <a:stretch>
          <a:fillRect/>
        </a:stretch>
      </xdr:blipFill>
      <xdr:spPr>
        <a:xfrm>
          <a:off x="0" y="15049500"/>
          <a:ext cx="7277100" cy="1628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118</xdr:row>
      <xdr:rowOff>0</xdr:rowOff>
    </xdr:from>
    <xdr:to>
      <xdr:col>4</xdr:col>
      <xdr:colOff>1152525</xdr:colOff>
      <xdr:row>126</xdr:row>
      <xdr:rowOff>186267</xdr:rowOff>
    </xdr:to>
    <xdr:pic>
      <xdr:nvPicPr>
        <xdr:cNvPr id="5" name="Speech Bubble: Rectangle with Corners Rounded 6">
          <a:extLst>
            <a:ext uri="{FF2B5EF4-FFF2-40B4-BE49-F238E27FC236}">
              <a16:creationId xmlns:a16="http://schemas.microsoft.com/office/drawing/2014/main" id="{602E01FC-AD67-4979-9422-D8D52418CBC9}"/>
            </a:ext>
          </a:extLst>
        </xdr:cNvPr>
        <xdr:cNvPicPr/>
      </xdr:nvPicPr>
      <xdr:blipFill>
        <a:blip xmlns:r="http://schemas.openxmlformats.org/officeDocument/2006/relationships" r:embed="rId5" r:link="rId2"/>
        <a:stretch>
          <a:fillRect/>
        </a:stretch>
      </xdr:blipFill>
      <xdr:spPr>
        <a:xfrm>
          <a:off x="0" y="23336250"/>
          <a:ext cx="7277100" cy="1710267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157</xdr:row>
      <xdr:rowOff>0</xdr:rowOff>
    </xdr:from>
    <xdr:to>
      <xdr:col>4</xdr:col>
      <xdr:colOff>1135592</xdr:colOff>
      <xdr:row>165</xdr:row>
      <xdr:rowOff>114300</xdr:rowOff>
    </xdr:to>
    <xdr:pic>
      <xdr:nvPicPr>
        <xdr:cNvPr id="6" name="Speech Bubble: Rectangle with Corners Rounded 8">
          <a:extLst>
            <a:ext uri="{FF2B5EF4-FFF2-40B4-BE49-F238E27FC236}">
              <a16:creationId xmlns:a16="http://schemas.microsoft.com/office/drawing/2014/main" id="{91BDE267-2790-4513-9098-0EF1561FB848}"/>
            </a:ext>
          </a:extLst>
        </xdr:cNvPr>
        <xdr:cNvPicPr/>
      </xdr:nvPicPr>
      <xdr:blipFill>
        <a:blip xmlns:r="http://schemas.openxmlformats.org/officeDocument/2006/relationships" r:embed="rId6" r:link="rId2"/>
        <a:stretch>
          <a:fillRect/>
        </a:stretch>
      </xdr:blipFill>
      <xdr:spPr>
        <a:xfrm>
          <a:off x="0" y="31289625"/>
          <a:ext cx="7260167" cy="1638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193</xdr:row>
      <xdr:rowOff>0</xdr:rowOff>
    </xdr:from>
    <xdr:to>
      <xdr:col>4</xdr:col>
      <xdr:colOff>1135592</xdr:colOff>
      <xdr:row>201</xdr:row>
      <xdr:rowOff>180975</xdr:rowOff>
    </xdr:to>
    <xdr:pic>
      <xdr:nvPicPr>
        <xdr:cNvPr id="7" name="Speech Bubble: Rectangle with Corners Rounded 9">
          <a:extLst>
            <a:ext uri="{FF2B5EF4-FFF2-40B4-BE49-F238E27FC236}">
              <a16:creationId xmlns:a16="http://schemas.microsoft.com/office/drawing/2014/main" id="{7EC1F6BA-E95D-478B-9D11-43497C4747D4}"/>
            </a:ext>
          </a:extLst>
        </xdr:cNvPr>
        <xdr:cNvPicPr/>
      </xdr:nvPicPr>
      <xdr:blipFill>
        <a:blip xmlns:r="http://schemas.openxmlformats.org/officeDocument/2006/relationships" r:embed="rId7" r:link="rId2"/>
        <a:stretch>
          <a:fillRect/>
        </a:stretch>
      </xdr:blipFill>
      <xdr:spPr>
        <a:xfrm>
          <a:off x="0" y="38671500"/>
          <a:ext cx="7260167" cy="1704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600076</xdr:colOff>
      <xdr:row>229</xdr:row>
      <xdr:rowOff>1</xdr:rowOff>
    </xdr:from>
    <xdr:to>
      <xdr:col>6</xdr:col>
      <xdr:colOff>1000126</xdr:colOff>
      <xdr:row>233</xdr:row>
      <xdr:rowOff>190501</xdr:rowOff>
    </xdr:to>
    <xdr:pic>
      <xdr:nvPicPr>
        <xdr:cNvPr id="9" name="Speech Bubble: Rectangle with Corners Rounded 11">
          <a:extLst>
            <a:ext uri="{FF2B5EF4-FFF2-40B4-BE49-F238E27FC236}">
              <a16:creationId xmlns:a16="http://schemas.microsoft.com/office/drawing/2014/main" id="{4A022180-41E9-46A4-9130-3493B6CFB56F}"/>
            </a:ext>
          </a:extLst>
        </xdr:cNvPr>
        <xdr:cNvPicPr/>
      </xdr:nvPicPr>
      <xdr:blipFill>
        <a:blip xmlns:r="http://schemas.openxmlformats.org/officeDocument/2006/relationships" r:embed="rId8" r:link="rId2"/>
        <a:stretch>
          <a:fillRect/>
        </a:stretch>
      </xdr:blipFill>
      <xdr:spPr>
        <a:xfrm>
          <a:off x="3543301" y="46053376"/>
          <a:ext cx="6286500" cy="1028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361951</xdr:colOff>
      <xdr:row>264</xdr:row>
      <xdr:rowOff>133351</xdr:rowOff>
    </xdr:from>
    <xdr:to>
      <xdr:col>5</xdr:col>
      <xdr:colOff>352426</xdr:colOff>
      <xdr:row>270</xdr:row>
      <xdr:rowOff>47626</xdr:rowOff>
    </xdr:to>
    <xdr:pic>
      <xdr:nvPicPr>
        <xdr:cNvPr id="10" name="Speech Bubble: Rectangle with Corners Rounded 12">
          <a:extLst>
            <a:ext uri="{FF2B5EF4-FFF2-40B4-BE49-F238E27FC236}">
              <a16:creationId xmlns:a16="http://schemas.microsoft.com/office/drawing/2014/main" id="{A319286C-EC33-4060-92CC-6CA0047D58EC}"/>
            </a:ext>
          </a:extLst>
        </xdr:cNvPr>
        <xdr:cNvPicPr/>
      </xdr:nvPicPr>
      <xdr:blipFill>
        <a:blip xmlns:r="http://schemas.openxmlformats.org/officeDocument/2006/relationships" r:embed="rId9" r:link="rId2"/>
        <a:stretch>
          <a:fillRect/>
        </a:stretch>
      </xdr:blipFill>
      <xdr:spPr>
        <a:xfrm>
          <a:off x="3305176" y="53463826"/>
          <a:ext cx="4876800" cy="1143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504825</xdr:colOff>
      <xdr:row>298</xdr:row>
      <xdr:rowOff>104776</xdr:rowOff>
    </xdr:from>
    <xdr:to>
      <xdr:col>5</xdr:col>
      <xdr:colOff>923925</xdr:colOff>
      <xdr:row>305</xdr:row>
      <xdr:rowOff>57151</xdr:rowOff>
    </xdr:to>
    <xdr:pic>
      <xdr:nvPicPr>
        <xdr:cNvPr id="11" name="Speech Bubble: Rectangle with Corners Rounded 13">
          <a:extLst>
            <a:ext uri="{FF2B5EF4-FFF2-40B4-BE49-F238E27FC236}">
              <a16:creationId xmlns:a16="http://schemas.microsoft.com/office/drawing/2014/main" id="{3DF1377B-679E-4D0B-8FCA-23B957D858B4}"/>
            </a:ext>
          </a:extLst>
        </xdr:cNvPr>
        <xdr:cNvPicPr/>
      </xdr:nvPicPr>
      <xdr:blipFill>
        <a:blip xmlns:r="http://schemas.openxmlformats.org/officeDocument/2006/relationships" r:embed="rId10" r:link="rId2"/>
        <a:stretch>
          <a:fillRect/>
        </a:stretch>
      </xdr:blipFill>
      <xdr:spPr>
        <a:xfrm>
          <a:off x="3448050" y="60521851"/>
          <a:ext cx="5305425" cy="1371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331</xdr:row>
      <xdr:rowOff>38100</xdr:rowOff>
    </xdr:from>
    <xdr:to>
      <xdr:col>3</xdr:col>
      <xdr:colOff>1000125</xdr:colOff>
      <xdr:row>340</xdr:row>
      <xdr:rowOff>171450</xdr:rowOff>
    </xdr:to>
    <xdr:pic>
      <xdr:nvPicPr>
        <xdr:cNvPr id="12" name="Speech Bubble: Rectangle with Corners Rounded 14">
          <a:extLst>
            <a:ext uri="{FF2B5EF4-FFF2-40B4-BE49-F238E27FC236}">
              <a16:creationId xmlns:a16="http://schemas.microsoft.com/office/drawing/2014/main" id="{81861FC0-B93C-4791-B78E-048F42EB0D85}"/>
            </a:ext>
          </a:extLst>
        </xdr:cNvPr>
        <xdr:cNvPicPr/>
      </xdr:nvPicPr>
      <xdr:blipFill>
        <a:blip xmlns:r="http://schemas.openxmlformats.org/officeDocument/2006/relationships" r:embed="rId11" r:link="rId2"/>
        <a:stretch>
          <a:fillRect/>
        </a:stretch>
      </xdr:blipFill>
      <xdr:spPr>
        <a:xfrm>
          <a:off x="0" y="67351275"/>
          <a:ext cx="4962525" cy="18478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F9DDD0-62C8-46B9-B0E0-ECBF233AF27C}" name="Table2" displayName="Table2" ref="A2:H22" totalsRowShown="0" headerRowDxfId="10" headerRowBorderDxfId="9" tableBorderDxfId="8" headerRowCellStyle="Normal 2">
  <autoFilter ref="A2:H22" xr:uid="{48F9DDD0-62C8-46B9-B0E0-ECBF233AF27C}"/>
  <tableColumns count="8">
    <tableColumn id="1" xr3:uid="{C482BDCA-7E0A-4E8A-8D0A-FA6238C95CDC}" name="First Delivery Date" dataDxfId="7" dataCellStyle="Normal 2"/>
    <tableColumn id="2" xr3:uid="{E2109171-2906-47B2-9F4F-A24C0D7694E0}" name="First Product" dataDxfId="6" dataCellStyle="Normal 2"/>
    <tableColumn id="3" xr3:uid="{977A5CB5-518A-498B-902C-36D32A1DC686}" name="Cost" dataDxfId="5" dataCellStyle="Normal 2"/>
    <tableColumn id="4" xr3:uid="{5980E662-BCE9-4D41-9A6E-72025DC8060E}" name="Second Delivery Date" dataDxfId="4" dataCellStyle="Normal 2"/>
    <tableColumn id="5" xr3:uid="{1A36B821-155E-4115-8816-4646D061659E}" name="Second Product" dataDxfId="3" dataCellStyle="Normal 2"/>
    <tableColumn id="6" xr3:uid="{3D61B350-C6D4-4DF9-A750-94E12D477FDC}" name="Cost2" dataDxfId="2" dataCellStyle="Normal 2"/>
    <tableColumn id="7" xr3:uid="{D8468EA9-8736-4B6C-99CD-88089322E1C4}" name="Delivery Person" dataDxfId="1" dataCellStyle="Normal 2"/>
    <tableColumn id="8" xr3:uid="{91D8DE88-37BF-4D7B-B50A-2D2E74623E65}" name="Delivered Laptop Twice" dataDxfId="0" dataCellStyle="Normal 2">
      <calculatedColumnFormula>AND($B3="laptop",$E3="Laptop")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5D4CB-8897-4FD2-8DB5-7EF6408D3516}">
  <dimension ref="A1:J336"/>
  <sheetViews>
    <sheetView tabSelected="1" topLeftCell="A322" workbookViewId="0">
      <selection activeCell="D340" sqref="D340"/>
    </sheetView>
  </sheetViews>
  <sheetFormatPr defaultRowHeight="15"/>
  <cols>
    <col min="1" max="1" width="24.42578125" customWidth="1"/>
    <col min="2" max="2" width="19.7109375" customWidth="1"/>
    <col min="3" max="3" width="15.28515625" customWidth="1"/>
    <col min="4" max="4" width="32.42578125" customWidth="1"/>
    <col min="5" max="5" width="25.5703125" customWidth="1"/>
    <col min="6" max="6" width="15" customWidth="1"/>
    <col min="7" max="7" width="22.28515625" customWidth="1"/>
    <col min="8" max="8" width="31.7109375" customWidth="1"/>
  </cols>
  <sheetData>
    <row r="1" spans="1:10" ht="18.75">
      <c r="A1" s="2" t="s">
        <v>0</v>
      </c>
      <c r="B1" s="1"/>
      <c r="C1" s="1"/>
      <c r="D1" s="1"/>
      <c r="E1" s="1"/>
      <c r="F1" s="1"/>
      <c r="G1" s="1"/>
      <c r="H1" s="1"/>
    </row>
    <row r="2" spans="1:10" ht="18.75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21</v>
      </c>
      <c r="G2" s="7" t="s">
        <v>6</v>
      </c>
      <c r="H2" s="12" t="s">
        <v>7</v>
      </c>
    </row>
    <row r="3" spans="1:10" ht="15.75">
      <c r="A3" s="5">
        <v>44621</v>
      </c>
      <c r="B3" s="3" t="s">
        <v>8</v>
      </c>
      <c r="C3" s="4">
        <v>2479.94</v>
      </c>
      <c r="D3" s="5">
        <v>44621</v>
      </c>
      <c r="E3" s="3" t="s">
        <v>9</v>
      </c>
      <c r="F3" s="4">
        <v>699.95</v>
      </c>
      <c r="G3" s="3" t="s">
        <v>10</v>
      </c>
      <c r="H3" s="11" t="b">
        <f>AND($B3="laptop",$E3="Laptop")</f>
        <v>0</v>
      </c>
      <c r="I3" t="s">
        <v>20</v>
      </c>
      <c r="J3" t="b">
        <f>AND(B3="laptop",E3="laptop")</f>
        <v>0</v>
      </c>
    </row>
    <row r="4" spans="1:10" ht="15.75">
      <c r="A4" s="5">
        <v>44635</v>
      </c>
      <c r="B4" s="3" t="s">
        <v>8</v>
      </c>
      <c r="C4" s="4">
        <v>1732.99</v>
      </c>
      <c r="D4" s="5">
        <v>44636</v>
      </c>
      <c r="E4" s="3" t="s">
        <v>8</v>
      </c>
      <c r="F4" s="4">
        <v>3164.99</v>
      </c>
      <c r="G4" s="3" t="s">
        <v>11</v>
      </c>
      <c r="H4" s="11" t="b">
        <f t="shared" ref="H4:H22" si="0">AND($B4="laptop",$E4="Laptop")</f>
        <v>1</v>
      </c>
    </row>
    <row r="5" spans="1:10" ht="15.75">
      <c r="A5" s="5">
        <v>44637</v>
      </c>
      <c r="B5" s="3" t="s">
        <v>8</v>
      </c>
      <c r="C5" s="4">
        <v>1174.99</v>
      </c>
      <c r="D5" s="5">
        <v>44638</v>
      </c>
      <c r="E5" s="3" t="s">
        <v>9</v>
      </c>
      <c r="F5" s="6">
        <v>429</v>
      </c>
      <c r="G5" s="3" t="s">
        <v>10</v>
      </c>
      <c r="H5" s="11" t="b">
        <f t="shared" si="0"/>
        <v>0</v>
      </c>
    </row>
    <row r="6" spans="1:10" ht="15.75">
      <c r="A6" s="5">
        <v>44639</v>
      </c>
      <c r="B6" s="3" t="s">
        <v>8</v>
      </c>
      <c r="C6" s="4">
        <v>1799.99</v>
      </c>
      <c r="D6" s="5">
        <v>44641</v>
      </c>
      <c r="E6" s="3" t="s">
        <v>9</v>
      </c>
      <c r="F6" s="6">
        <v>1525</v>
      </c>
      <c r="G6" s="3" t="s">
        <v>12</v>
      </c>
      <c r="H6" s="11" t="b">
        <f t="shared" si="0"/>
        <v>0</v>
      </c>
    </row>
    <row r="7" spans="1:10" ht="15.75">
      <c r="A7" s="5">
        <v>44642</v>
      </c>
      <c r="B7" s="3" t="s">
        <v>8</v>
      </c>
      <c r="C7" s="4">
        <v>3164.99</v>
      </c>
      <c r="D7" s="5">
        <v>44643</v>
      </c>
      <c r="E7" s="3" t="s">
        <v>9</v>
      </c>
      <c r="F7" s="6">
        <v>599</v>
      </c>
      <c r="G7" s="3" t="s">
        <v>13</v>
      </c>
      <c r="H7" s="11" t="b">
        <f t="shared" si="0"/>
        <v>0</v>
      </c>
    </row>
    <row r="8" spans="1:10" ht="15.75">
      <c r="A8" s="5">
        <v>44645</v>
      </c>
      <c r="B8" s="3" t="s">
        <v>8</v>
      </c>
      <c r="C8" s="4">
        <v>1199</v>
      </c>
      <c r="D8" s="5">
        <v>44646</v>
      </c>
      <c r="E8" s="3" t="s">
        <v>8</v>
      </c>
      <c r="F8" s="4">
        <v>1199</v>
      </c>
      <c r="G8" s="3" t="s">
        <v>14</v>
      </c>
      <c r="H8" s="11" t="b">
        <f t="shared" si="0"/>
        <v>1</v>
      </c>
    </row>
    <row r="9" spans="1:10" ht="15.75">
      <c r="A9" s="5">
        <v>44648</v>
      </c>
      <c r="B9" s="3" t="s">
        <v>9</v>
      </c>
      <c r="C9" s="4">
        <v>699.95</v>
      </c>
      <c r="D9" s="5">
        <v>44649</v>
      </c>
      <c r="E9" s="3" t="s">
        <v>9</v>
      </c>
      <c r="F9" s="6">
        <v>449</v>
      </c>
      <c r="G9" s="3" t="s">
        <v>11</v>
      </c>
      <c r="H9" s="11" t="b">
        <f t="shared" si="0"/>
        <v>0</v>
      </c>
    </row>
    <row r="10" spans="1:10" ht="15.75">
      <c r="A10" s="5">
        <v>44649</v>
      </c>
      <c r="B10" s="3" t="s">
        <v>9</v>
      </c>
      <c r="C10" s="6">
        <v>949</v>
      </c>
      <c r="D10" s="5">
        <v>44649</v>
      </c>
      <c r="E10" s="3" t="s">
        <v>15</v>
      </c>
      <c r="F10" s="4">
        <v>149.94999999999999</v>
      </c>
      <c r="G10" s="3" t="s">
        <v>16</v>
      </c>
      <c r="H10" s="11" t="b">
        <f t="shared" si="0"/>
        <v>0</v>
      </c>
    </row>
    <row r="11" spans="1:10" ht="15.75">
      <c r="A11" s="5">
        <v>44653</v>
      </c>
      <c r="B11" s="3" t="s">
        <v>9</v>
      </c>
      <c r="C11" s="6">
        <v>429</v>
      </c>
      <c r="D11" s="5">
        <v>44654</v>
      </c>
      <c r="E11" s="3" t="s">
        <v>15</v>
      </c>
      <c r="F11" s="4">
        <v>129.94999999999999</v>
      </c>
      <c r="G11" s="3" t="s">
        <v>17</v>
      </c>
      <c r="H11" s="11" t="b">
        <f t="shared" si="0"/>
        <v>0</v>
      </c>
    </row>
    <row r="12" spans="1:10" ht="15.75">
      <c r="A12" s="5">
        <v>44656</v>
      </c>
      <c r="B12" s="3" t="s">
        <v>9</v>
      </c>
      <c r="C12" s="6">
        <v>1525</v>
      </c>
      <c r="D12" s="5">
        <v>44657</v>
      </c>
      <c r="E12" s="3" t="s">
        <v>18</v>
      </c>
      <c r="F12" s="6">
        <v>399</v>
      </c>
      <c r="G12" s="3" t="s">
        <v>10</v>
      </c>
      <c r="H12" s="11" t="b">
        <f t="shared" si="0"/>
        <v>0</v>
      </c>
    </row>
    <row r="13" spans="1:10" ht="15.75">
      <c r="A13" s="5">
        <v>44662</v>
      </c>
      <c r="B13" s="3" t="s">
        <v>8</v>
      </c>
      <c r="C13" s="4">
        <v>1799.99</v>
      </c>
      <c r="D13" s="5">
        <v>44664</v>
      </c>
      <c r="E13" s="3" t="s">
        <v>18</v>
      </c>
      <c r="F13" s="4">
        <v>183.9</v>
      </c>
      <c r="G13" s="3" t="s">
        <v>16</v>
      </c>
      <c r="H13" s="11" t="b">
        <f t="shared" si="0"/>
        <v>0</v>
      </c>
    </row>
    <row r="14" spans="1:10" ht="15.75">
      <c r="A14" s="5">
        <v>44668</v>
      </c>
      <c r="B14" s="3" t="s">
        <v>9</v>
      </c>
      <c r="C14" s="6">
        <v>475</v>
      </c>
      <c r="D14" s="5">
        <v>44669</v>
      </c>
      <c r="E14" s="3" t="s">
        <v>18</v>
      </c>
      <c r="F14" s="6">
        <v>299</v>
      </c>
      <c r="G14" s="3" t="s">
        <v>10</v>
      </c>
      <c r="H14" s="11" t="b">
        <f t="shared" si="0"/>
        <v>0</v>
      </c>
    </row>
    <row r="15" spans="1:10" ht="15.75">
      <c r="A15" s="5">
        <v>44674</v>
      </c>
      <c r="B15" s="3" t="s">
        <v>9</v>
      </c>
      <c r="C15" s="6">
        <v>449</v>
      </c>
      <c r="D15" s="5">
        <v>44675</v>
      </c>
      <c r="E15" s="3" t="s">
        <v>8</v>
      </c>
      <c r="F15" s="4">
        <v>2479.94</v>
      </c>
      <c r="G15" s="3" t="s">
        <v>11</v>
      </c>
      <c r="H15" s="11" t="b">
        <f t="shared" si="0"/>
        <v>0</v>
      </c>
    </row>
    <row r="16" spans="1:10" ht="15.75">
      <c r="A16" s="5">
        <v>44678</v>
      </c>
      <c r="B16" s="3" t="s">
        <v>15</v>
      </c>
      <c r="C16" s="4">
        <v>149.94999999999999</v>
      </c>
      <c r="D16" s="5">
        <v>44679</v>
      </c>
      <c r="E16" s="3" t="s">
        <v>8</v>
      </c>
      <c r="F16" s="4">
        <v>1732.99</v>
      </c>
      <c r="G16" s="3" t="s">
        <v>13</v>
      </c>
      <c r="H16" s="11" t="b">
        <f t="shared" si="0"/>
        <v>0</v>
      </c>
    </row>
    <row r="17" spans="1:8" ht="15.75">
      <c r="A17" s="5">
        <v>44685</v>
      </c>
      <c r="B17" s="3" t="s">
        <v>15</v>
      </c>
      <c r="C17" s="4">
        <v>129.94999999999999</v>
      </c>
      <c r="D17" s="5">
        <v>44687</v>
      </c>
      <c r="E17" s="3" t="s">
        <v>8</v>
      </c>
      <c r="F17" s="4">
        <v>1174.99</v>
      </c>
      <c r="G17" s="3" t="s">
        <v>10</v>
      </c>
      <c r="H17" s="11" t="b">
        <f t="shared" si="0"/>
        <v>0</v>
      </c>
    </row>
    <row r="18" spans="1:8" ht="15.75">
      <c r="A18" s="5">
        <v>44688</v>
      </c>
      <c r="B18" s="3" t="s">
        <v>18</v>
      </c>
      <c r="C18" s="6">
        <v>399</v>
      </c>
      <c r="D18" s="5">
        <v>44688</v>
      </c>
      <c r="E18" s="3" t="s">
        <v>8</v>
      </c>
      <c r="F18" s="4">
        <v>1799.99</v>
      </c>
      <c r="G18" s="3" t="s">
        <v>12</v>
      </c>
      <c r="H18" s="11" t="b">
        <f t="shared" si="0"/>
        <v>0</v>
      </c>
    </row>
    <row r="19" spans="1:8" ht="15.75">
      <c r="A19" s="5">
        <v>44694</v>
      </c>
      <c r="B19" s="3" t="s">
        <v>18</v>
      </c>
      <c r="C19" s="4">
        <v>183.9</v>
      </c>
      <c r="D19" s="5">
        <v>44695</v>
      </c>
      <c r="E19" s="3" t="s">
        <v>18</v>
      </c>
      <c r="F19" s="4">
        <v>183.9</v>
      </c>
      <c r="G19" s="3" t="s">
        <v>13</v>
      </c>
      <c r="H19" s="11" t="b">
        <f t="shared" si="0"/>
        <v>0</v>
      </c>
    </row>
    <row r="20" spans="1:8" ht="15.75">
      <c r="A20" s="5">
        <v>44696</v>
      </c>
      <c r="B20" s="3" t="s">
        <v>18</v>
      </c>
      <c r="C20" s="6">
        <v>299</v>
      </c>
      <c r="D20" s="5">
        <v>44697</v>
      </c>
      <c r="E20" s="3" t="s">
        <v>19</v>
      </c>
      <c r="F20" s="6">
        <v>565</v>
      </c>
      <c r="G20" s="3" t="s">
        <v>12</v>
      </c>
      <c r="H20" s="11" t="b">
        <f t="shared" si="0"/>
        <v>0</v>
      </c>
    </row>
    <row r="21" spans="1:8" ht="15.75">
      <c r="A21" s="5">
        <v>44698</v>
      </c>
      <c r="B21" s="3" t="s">
        <v>19</v>
      </c>
      <c r="C21" s="6">
        <v>560</v>
      </c>
      <c r="D21" s="5">
        <v>44700</v>
      </c>
      <c r="E21" s="3" t="s">
        <v>19</v>
      </c>
      <c r="F21" s="6">
        <v>560</v>
      </c>
      <c r="G21" s="3" t="s">
        <v>11</v>
      </c>
      <c r="H21" s="11" t="b">
        <f t="shared" si="0"/>
        <v>0</v>
      </c>
    </row>
    <row r="22" spans="1:8" ht="15.75">
      <c r="A22" s="8">
        <v>44700</v>
      </c>
      <c r="B22" s="9" t="s">
        <v>19</v>
      </c>
      <c r="C22" s="10">
        <v>565</v>
      </c>
      <c r="D22" s="8">
        <v>44700</v>
      </c>
      <c r="E22" s="9" t="s">
        <v>18</v>
      </c>
      <c r="F22" s="10">
        <v>299</v>
      </c>
      <c r="G22" s="9" t="s">
        <v>10</v>
      </c>
      <c r="H22" s="13" t="b">
        <f t="shared" si="0"/>
        <v>0</v>
      </c>
    </row>
    <row r="52" spans="1:8" ht="18.75">
      <c r="A52" s="15" t="s">
        <v>22</v>
      </c>
      <c r="B52" s="14"/>
      <c r="C52" s="14"/>
      <c r="D52" s="14"/>
      <c r="E52" s="14"/>
      <c r="F52" s="14"/>
      <c r="G52" s="14"/>
      <c r="H52" s="14"/>
    </row>
    <row r="53" spans="1:8" ht="18.75">
      <c r="A53" s="16" t="s">
        <v>1</v>
      </c>
      <c r="B53" s="17" t="s">
        <v>2</v>
      </c>
      <c r="C53" s="17" t="s">
        <v>3</v>
      </c>
      <c r="D53" s="17" t="s">
        <v>4</v>
      </c>
      <c r="E53" s="17" t="s">
        <v>5</v>
      </c>
      <c r="F53" s="17" t="s">
        <v>3</v>
      </c>
      <c r="G53" s="17" t="s">
        <v>6</v>
      </c>
      <c r="H53" s="23" t="s">
        <v>23</v>
      </c>
    </row>
    <row r="54" spans="1:8" ht="15.75">
      <c r="A54" s="18">
        <v>44621</v>
      </c>
      <c r="B54" s="19" t="s">
        <v>8</v>
      </c>
      <c r="C54" s="20">
        <v>2479.94</v>
      </c>
      <c r="D54" s="21">
        <v>44621</v>
      </c>
      <c r="E54" s="19" t="s">
        <v>9</v>
      </c>
      <c r="F54" s="20">
        <v>699.95</v>
      </c>
      <c r="G54" s="19" t="s">
        <v>10</v>
      </c>
      <c r="H54" s="24" t="b">
        <f>OR(AND($B54="Laptop",A54&lt;&gt;" ")+AND($E54="laptop",D54&lt;&gt;" "))</f>
        <v>1</v>
      </c>
    </row>
    <row r="55" spans="1:8" ht="15.75">
      <c r="A55" s="18">
        <v>44635</v>
      </c>
      <c r="B55" s="19" t="s">
        <v>8</v>
      </c>
      <c r="C55" s="20">
        <v>1732.99</v>
      </c>
      <c r="D55" s="21">
        <v>44636</v>
      </c>
      <c r="E55" s="19" t="s">
        <v>8</v>
      </c>
      <c r="F55" s="20">
        <v>3164.99</v>
      </c>
      <c r="G55" s="19" t="s">
        <v>11</v>
      </c>
      <c r="H55" s="24" t="b">
        <f t="shared" ref="H55:H73" si="1">OR(AND($B55="Laptop",A55&lt;&gt;" ")+AND($E55="laptop",D55&lt;&gt;" "))</f>
        <v>1</v>
      </c>
    </row>
    <row r="56" spans="1:8" ht="15.75">
      <c r="A56" s="18">
        <v>44637</v>
      </c>
      <c r="B56" s="19" t="s">
        <v>8</v>
      </c>
      <c r="C56" s="20">
        <v>1174.99</v>
      </c>
      <c r="D56" s="21">
        <v>44638</v>
      </c>
      <c r="E56" s="19" t="s">
        <v>9</v>
      </c>
      <c r="F56" s="22">
        <v>429</v>
      </c>
      <c r="G56" s="19" t="s">
        <v>10</v>
      </c>
      <c r="H56" s="24" t="b">
        <f t="shared" si="1"/>
        <v>1</v>
      </c>
    </row>
    <row r="57" spans="1:8" ht="15.75">
      <c r="A57" s="18">
        <v>44639</v>
      </c>
      <c r="B57" s="19" t="s">
        <v>8</v>
      </c>
      <c r="C57" s="20">
        <v>1799.99</v>
      </c>
      <c r="D57" s="21">
        <v>44641</v>
      </c>
      <c r="E57" s="19" t="s">
        <v>9</v>
      </c>
      <c r="F57" s="22">
        <v>1525</v>
      </c>
      <c r="G57" s="19" t="s">
        <v>12</v>
      </c>
      <c r="H57" s="24" t="b">
        <f t="shared" si="1"/>
        <v>1</v>
      </c>
    </row>
    <row r="58" spans="1:8" ht="15.75">
      <c r="A58" s="18">
        <v>44642</v>
      </c>
      <c r="B58" s="19" t="s">
        <v>8</v>
      </c>
      <c r="C58" s="20">
        <v>3164.99</v>
      </c>
      <c r="D58" s="21">
        <v>44643</v>
      </c>
      <c r="E58" s="19" t="s">
        <v>9</v>
      </c>
      <c r="F58" s="22">
        <v>599</v>
      </c>
      <c r="G58" s="19" t="s">
        <v>13</v>
      </c>
      <c r="H58" s="24" t="b">
        <f t="shared" si="1"/>
        <v>1</v>
      </c>
    </row>
    <row r="59" spans="1:8" ht="15.75">
      <c r="A59" s="18">
        <v>44645</v>
      </c>
      <c r="B59" s="19" t="s">
        <v>8</v>
      </c>
      <c r="C59" s="20">
        <v>1199</v>
      </c>
      <c r="D59" s="21">
        <v>44646</v>
      </c>
      <c r="E59" s="19" t="s">
        <v>8</v>
      </c>
      <c r="F59" s="20">
        <v>1199</v>
      </c>
      <c r="G59" s="19" t="s">
        <v>14</v>
      </c>
      <c r="H59" s="24" t="b">
        <f t="shared" si="1"/>
        <v>1</v>
      </c>
    </row>
    <row r="60" spans="1:8" ht="15.75">
      <c r="A60" s="18">
        <v>44648</v>
      </c>
      <c r="B60" s="19" t="s">
        <v>9</v>
      </c>
      <c r="C60" s="20">
        <v>699.95</v>
      </c>
      <c r="D60" s="21">
        <v>44649</v>
      </c>
      <c r="E60" s="19" t="s">
        <v>9</v>
      </c>
      <c r="F60" s="22">
        <v>449</v>
      </c>
      <c r="G60" s="19" t="s">
        <v>11</v>
      </c>
      <c r="H60" s="24" t="b">
        <f t="shared" si="1"/>
        <v>0</v>
      </c>
    </row>
    <row r="61" spans="1:8" ht="15.75">
      <c r="A61" s="18">
        <v>44649</v>
      </c>
      <c r="B61" s="19" t="s">
        <v>9</v>
      </c>
      <c r="C61" s="22">
        <v>949</v>
      </c>
      <c r="D61" s="21">
        <v>44649</v>
      </c>
      <c r="E61" s="19" t="s">
        <v>15</v>
      </c>
      <c r="F61" s="20">
        <v>149.94999999999999</v>
      </c>
      <c r="G61" s="19" t="s">
        <v>16</v>
      </c>
      <c r="H61" s="24" t="b">
        <f t="shared" si="1"/>
        <v>0</v>
      </c>
    </row>
    <row r="62" spans="1:8" ht="15.75">
      <c r="A62" s="18">
        <v>44653</v>
      </c>
      <c r="B62" s="19" t="s">
        <v>9</v>
      </c>
      <c r="C62" s="22">
        <v>429</v>
      </c>
      <c r="D62" s="21">
        <v>44654</v>
      </c>
      <c r="E62" s="19" t="s">
        <v>15</v>
      </c>
      <c r="F62" s="20">
        <v>129.94999999999999</v>
      </c>
      <c r="G62" s="19" t="s">
        <v>17</v>
      </c>
      <c r="H62" s="24" t="b">
        <f t="shared" si="1"/>
        <v>0</v>
      </c>
    </row>
    <row r="63" spans="1:8" ht="15.75">
      <c r="A63" s="18">
        <v>44656</v>
      </c>
      <c r="B63" s="19" t="s">
        <v>9</v>
      </c>
      <c r="C63" s="22">
        <v>1525</v>
      </c>
      <c r="D63" s="21">
        <v>44657</v>
      </c>
      <c r="E63" s="19" t="s">
        <v>18</v>
      </c>
      <c r="F63" s="22">
        <v>399</v>
      </c>
      <c r="G63" s="19" t="s">
        <v>10</v>
      </c>
      <c r="H63" s="24" t="b">
        <f t="shared" si="1"/>
        <v>0</v>
      </c>
    </row>
    <row r="64" spans="1:8" ht="15.75">
      <c r="A64" s="18">
        <v>44662</v>
      </c>
      <c r="B64" s="19" t="s">
        <v>8</v>
      </c>
      <c r="C64" s="20">
        <v>1799.99</v>
      </c>
      <c r="D64" s="21">
        <v>44664</v>
      </c>
      <c r="E64" s="19" t="s">
        <v>18</v>
      </c>
      <c r="F64" s="20">
        <v>183.9</v>
      </c>
      <c r="G64" s="19" t="s">
        <v>16</v>
      </c>
      <c r="H64" s="24" t="b">
        <f t="shared" si="1"/>
        <v>1</v>
      </c>
    </row>
    <row r="65" spans="1:8" ht="15.75">
      <c r="A65" s="18">
        <v>44668</v>
      </c>
      <c r="B65" s="19" t="s">
        <v>9</v>
      </c>
      <c r="C65" s="22">
        <v>475</v>
      </c>
      <c r="D65" s="21">
        <v>44669</v>
      </c>
      <c r="E65" s="19" t="s">
        <v>18</v>
      </c>
      <c r="F65" s="22">
        <v>299</v>
      </c>
      <c r="G65" s="19" t="s">
        <v>10</v>
      </c>
      <c r="H65" s="24" t="b">
        <f t="shared" si="1"/>
        <v>0</v>
      </c>
    </row>
    <row r="66" spans="1:8" ht="15.75">
      <c r="A66" s="18">
        <v>44674</v>
      </c>
      <c r="B66" s="19" t="s">
        <v>9</v>
      </c>
      <c r="C66" s="22">
        <v>449</v>
      </c>
      <c r="D66" s="21">
        <v>44675</v>
      </c>
      <c r="E66" s="19" t="s">
        <v>8</v>
      </c>
      <c r="F66" s="20">
        <v>2479.94</v>
      </c>
      <c r="G66" s="19" t="s">
        <v>11</v>
      </c>
      <c r="H66" s="24" t="b">
        <f t="shared" si="1"/>
        <v>1</v>
      </c>
    </row>
    <row r="67" spans="1:8" ht="15.75">
      <c r="A67" s="18">
        <v>44678</v>
      </c>
      <c r="B67" s="19" t="s">
        <v>15</v>
      </c>
      <c r="C67" s="20">
        <v>149.94999999999999</v>
      </c>
      <c r="D67" s="21">
        <v>44679</v>
      </c>
      <c r="E67" s="19" t="s">
        <v>8</v>
      </c>
      <c r="F67" s="20">
        <v>1732.99</v>
      </c>
      <c r="G67" s="19" t="s">
        <v>13</v>
      </c>
      <c r="H67" s="24" t="b">
        <f t="shared" si="1"/>
        <v>1</v>
      </c>
    </row>
    <row r="68" spans="1:8" ht="15.75">
      <c r="A68" s="18">
        <v>44685</v>
      </c>
      <c r="B68" s="19" t="s">
        <v>15</v>
      </c>
      <c r="C68" s="20">
        <v>129.94999999999999</v>
      </c>
      <c r="D68" s="21">
        <v>44687</v>
      </c>
      <c r="E68" s="19" t="s">
        <v>8</v>
      </c>
      <c r="F68" s="20">
        <v>1174.99</v>
      </c>
      <c r="G68" s="19" t="s">
        <v>10</v>
      </c>
      <c r="H68" s="24" t="b">
        <f t="shared" si="1"/>
        <v>1</v>
      </c>
    </row>
    <row r="69" spans="1:8" ht="15.75">
      <c r="A69" s="18">
        <v>44688</v>
      </c>
      <c r="B69" s="19" t="s">
        <v>18</v>
      </c>
      <c r="C69" s="22">
        <v>399</v>
      </c>
      <c r="D69" s="21">
        <v>44688</v>
      </c>
      <c r="E69" s="19" t="s">
        <v>8</v>
      </c>
      <c r="F69" s="20">
        <v>1799.99</v>
      </c>
      <c r="G69" s="19" t="s">
        <v>12</v>
      </c>
      <c r="H69" s="24" t="b">
        <f t="shared" si="1"/>
        <v>1</v>
      </c>
    </row>
    <row r="70" spans="1:8" ht="15.75">
      <c r="A70" s="18">
        <v>44694</v>
      </c>
      <c r="B70" s="19" t="s">
        <v>18</v>
      </c>
      <c r="C70" s="20">
        <v>183.9</v>
      </c>
      <c r="D70" s="21">
        <v>44695</v>
      </c>
      <c r="E70" s="19" t="s">
        <v>18</v>
      </c>
      <c r="F70" s="20">
        <v>183.9</v>
      </c>
      <c r="G70" s="19" t="s">
        <v>13</v>
      </c>
      <c r="H70" s="24" t="b">
        <f t="shared" si="1"/>
        <v>0</v>
      </c>
    </row>
    <row r="71" spans="1:8" ht="15.75">
      <c r="A71" s="18">
        <v>44696</v>
      </c>
      <c r="B71" s="19" t="s">
        <v>18</v>
      </c>
      <c r="C71" s="22">
        <v>299</v>
      </c>
      <c r="D71" s="21">
        <v>44697</v>
      </c>
      <c r="E71" s="19" t="s">
        <v>19</v>
      </c>
      <c r="F71" s="22">
        <v>565</v>
      </c>
      <c r="G71" s="19" t="s">
        <v>12</v>
      </c>
      <c r="H71" s="24" t="b">
        <f t="shared" si="1"/>
        <v>0</v>
      </c>
    </row>
    <row r="72" spans="1:8" ht="15.75">
      <c r="A72" s="18">
        <v>44698</v>
      </c>
      <c r="B72" s="19" t="s">
        <v>19</v>
      </c>
      <c r="C72" s="22">
        <v>560</v>
      </c>
      <c r="D72" s="21">
        <v>44700</v>
      </c>
      <c r="E72" s="19" t="s">
        <v>19</v>
      </c>
      <c r="F72" s="22">
        <v>560</v>
      </c>
      <c r="G72" s="19" t="s">
        <v>11</v>
      </c>
      <c r="H72" s="24" t="b">
        <f t="shared" si="1"/>
        <v>0</v>
      </c>
    </row>
    <row r="73" spans="1:8" ht="15.75">
      <c r="A73" s="18">
        <v>44700</v>
      </c>
      <c r="B73" s="19" t="s">
        <v>19</v>
      </c>
      <c r="C73" s="22">
        <v>565</v>
      </c>
      <c r="D73" s="21">
        <v>44700</v>
      </c>
      <c r="E73" s="19" t="s">
        <v>18</v>
      </c>
      <c r="F73" s="22">
        <v>299</v>
      </c>
      <c r="G73" s="19" t="s">
        <v>10</v>
      </c>
      <c r="H73" s="24" t="b">
        <f t="shared" si="1"/>
        <v>0</v>
      </c>
    </row>
    <row r="87" spans="1:8">
      <c r="B87" t="s">
        <v>24</v>
      </c>
    </row>
    <row r="88" spans="1:8">
      <c r="B88" t="s">
        <v>25</v>
      </c>
    </row>
    <row r="89" spans="1:8">
      <c r="B89" t="s">
        <v>26</v>
      </c>
    </row>
    <row r="94" spans="1:8" ht="18.75">
      <c r="A94" s="26" t="s">
        <v>27</v>
      </c>
      <c r="B94" s="25"/>
      <c r="C94" s="25"/>
      <c r="D94" s="25"/>
      <c r="E94" s="25"/>
      <c r="F94" s="25"/>
      <c r="G94" s="25"/>
      <c r="H94" s="25"/>
    </row>
    <row r="95" spans="1:8" ht="18.75">
      <c r="A95" s="27" t="s">
        <v>1</v>
      </c>
      <c r="B95" s="28" t="s">
        <v>2</v>
      </c>
      <c r="C95" s="28" t="s">
        <v>3</v>
      </c>
      <c r="D95" s="28" t="s">
        <v>4</v>
      </c>
      <c r="E95" s="28" t="s">
        <v>5</v>
      </c>
      <c r="F95" s="28" t="s">
        <v>3</v>
      </c>
      <c r="G95" s="28" t="s">
        <v>6</v>
      </c>
      <c r="H95" s="34" t="s">
        <v>28</v>
      </c>
    </row>
    <row r="96" spans="1:8" ht="15.75">
      <c r="A96" s="29">
        <v>44621</v>
      </c>
      <c r="B96" s="30" t="s">
        <v>8</v>
      </c>
      <c r="C96" s="31">
        <v>2479.94</v>
      </c>
      <c r="D96" s="32">
        <v>44621</v>
      </c>
      <c r="E96" s="30" t="s">
        <v>9</v>
      </c>
      <c r="F96" s="31">
        <v>699.95</v>
      </c>
      <c r="G96" s="30" t="s">
        <v>10</v>
      </c>
      <c r="H96" s="35" t="b">
        <f>AND($A96&lt;&gt;" ",$D96&lt;&gt;" ",$A96=$D96)</f>
        <v>1</v>
      </c>
    </row>
    <row r="97" spans="1:8" ht="15.75">
      <c r="A97" s="29">
        <v>44635</v>
      </c>
      <c r="B97" s="30" t="s">
        <v>8</v>
      </c>
      <c r="C97" s="31">
        <v>1732.99</v>
      </c>
      <c r="D97" s="32">
        <v>44636</v>
      </c>
      <c r="E97" s="30" t="s">
        <v>8</v>
      </c>
      <c r="F97" s="31">
        <v>3164.99</v>
      </c>
      <c r="G97" s="30" t="s">
        <v>11</v>
      </c>
      <c r="H97" s="35" t="b">
        <f t="shared" ref="H97:H115" si="2">AND($A97&lt;&gt;" ",$D97&lt;&gt;" ",$A97=$D97)</f>
        <v>0</v>
      </c>
    </row>
    <row r="98" spans="1:8" ht="15.75">
      <c r="A98" s="29">
        <v>44637</v>
      </c>
      <c r="B98" s="30" t="s">
        <v>8</v>
      </c>
      <c r="C98" s="31">
        <v>1174.99</v>
      </c>
      <c r="D98" s="32">
        <v>44638</v>
      </c>
      <c r="E98" s="30" t="s">
        <v>9</v>
      </c>
      <c r="F98" s="33">
        <v>429</v>
      </c>
      <c r="G98" s="30" t="s">
        <v>10</v>
      </c>
      <c r="H98" s="35" t="b">
        <f t="shared" si="2"/>
        <v>0</v>
      </c>
    </row>
    <row r="99" spans="1:8" ht="15.75">
      <c r="A99" s="29">
        <v>44639</v>
      </c>
      <c r="B99" s="30" t="s">
        <v>8</v>
      </c>
      <c r="C99" s="31">
        <v>1799.99</v>
      </c>
      <c r="D99" s="32">
        <v>44641</v>
      </c>
      <c r="E99" s="30" t="s">
        <v>9</v>
      </c>
      <c r="F99" s="33">
        <v>1525</v>
      </c>
      <c r="G99" s="30" t="s">
        <v>12</v>
      </c>
      <c r="H99" s="35" t="b">
        <f t="shared" si="2"/>
        <v>0</v>
      </c>
    </row>
    <row r="100" spans="1:8" ht="15.75">
      <c r="A100" s="29">
        <v>44642</v>
      </c>
      <c r="B100" s="30" t="s">
        <v>8</v>
      </c>
      <c r="C100" s="31">
        <v>3164.99</v>
      </c>
      <c r="D100" s="32">
        <v>44643</v>
      </c>
      <c r="E100" s="30" t="s">
        <v>9</v>
      </c>
      <c r="F100" s="33">
        <v>599</v>
      </c>
      <c r="G100" s="30" t="s">
        <v>13</v>
      </c>
      <c r="H100" s="35" t="b">
        <f t="shared" si="2"/>
        <v>0</v>
      </c>
    </row>
    <row r="101" spans="1:8" ht="15.75">
      <c r="A101" s="29">
        <v>44645</v>
      </c>
      <c r="B101" s="30" t="s">
        <v>8</v>
      </c>
      <c r="C101" s="31">
        <v>1199</v>
      </c>
      <c r="D101" s="32">
        <v>44646</v>
      </c>
      <c r="E101" s="30" t="s">
        <v>8</v>
      </c>
      <c r="F101" s="31">
        <v>1199</v>
      </c>
      <c r="G101" s="30" t="s">
        <v>14</v>
      </c>
      <c r="H101" s="35" t="b">
        <f t="shared" si="2"/>
        <v>0</v>
      </c>
    </row>
    <row r="102" spans="1:8" ht="15.75">
      <c r="A102" s="29">
        <v>44648</v>
      </c>
      <c r="B102" s="30" t="s">
        <v>9</v>
      </c>
      <c r="C102" s="31">
        <v>699.95</v>
      </c>
      <c r="D102" s="32">
        <v>44649</v>
      </c>
      <c r="E102" s="30" t="s">
        <v>9</v>
      </c>
      <c r="F102" s="33">
        <v>449</v>
      </c>
      <c r="G102" s="30" t="s">
        <v>11</v>
      </c>
      <c r="H102" s="35" t="b">
        <f t="shared" si="2"/>
        <v>0</v>
      </c>
    </row>
    <row r="103" spans="1:8" ht="15.75">
      <c r="A103" s="29">
        <v>44649</v>
      </c>
      <c r="B103" s="30" t="s">
        <v>9</v>
      </c>
      <c r="C103" s="33">
        <v>949</v>
      </c>
      <c r="D103" s="32">
        <v>44649</v>
      </c>
      <c r="E103" s="30" t="s">
        <v>15</v>
      </c>
      <c r="F103" s="31">
        <v>149.94999999999999</v>
      </c>
      <c r="G103" s="30" t="s">
        <v>16</v>
      </c>
      <c r="H103" s="35" t="b">
        <f t="shared" si="2"/>
        <v>1</v>
      </c>
    </row>
    <row r="104" spans="1:8" ht="15.75">
      <c r="A104" s="29">
        <v>44653</v>
      </c>
      <c r="B104" s="30" t="s">
        <v>9</v>
      </c>
      <c r="C104" s="33">
        <v>429</v>
      </c>
      <c r="D104" s="32">
        <v>44654</v>
      </c>
      <c r="E104" s="30" t="s">
        <v>15</v>
      </c>
      <c r="F104" s="31">
        <v>129.94999999999999</v>
      </c>
      <c r="G104" s="30" t="s">
        <v>17</v>
      </c>
      <c r="H104" s="35" t="b">
        <f t="shared" si="2"/>
        <v>0</v>
      </c>
    </row>
    <row r="105" spans="1:8" ht="15.75">
      <c r="A105" s="29">
        <v>44656</v>
      </c>
      <c r="B105" s="30" t="s">
        <v>9</v>
      </c>
      <c r="C105" s="33">
        <v>1525</v>
      </c>
      <c r="D105" s="32">
        <v>44657</v>
      </c>
      <c r="E105" s="30" t="s">
        <v>18</v>
      </c>
      <c r="F105" s="33">
        <v>399</v>
      </c>
      <c r="G105" s="30" t="s">
        <v>10</v>
      </c>
      <c r="H105" s="35" t="b">
        <f t="shared" si="2"/>
        <v>0</v>
      </c>
    </row>
    <row r="106" spans="1:8" ht="15.75">
      <c r="A106" s="29">
        <v>44662</v>
      </c>
      <c r="B106" s="30" t="s">
        <v>8</v>
      </c>
      <c r="C106" s="31">
        <v>1799.99</v>
      </c>
      <c r="D106" s="32">
        <v>44664</v>
      </c>
      <c r="E106" s="30" t="s">
        <v>18</v>
      </c>
      <c r="F106" s="31">
        <v>183.9</v>
      </c>
      <c r="G106" s="30" t="s">
        <v>16</v>
      </c>
      <c r="H106" s="35" t="b">
        <f t="shared" si="2"/>
        <v>0</v>
      </c>
    </row>
    <row r="107" spans="1:8" ht="15.75">
      <c r="A107" s="29">
        <v>44668</v>
      </c>
      <c r="B107" s="30" t="s">
        <v>9</v>
      </c>
      <c r="C107" s="33">
        <v>475</v>
      </c>
      <c r="D107" s="32">
        <v>44669</v>
      </c>
      <c r="E107" s="30" t="s">
        <v>18</v>
      </c>
      <c r="F107" s="33">
        <v>299</v>
      </c>
      <c r="G107" s="30" t="s">
        <v>10</v>
      </c>
      <c r="H107" s="35" t="b">
        <f t="shared" si="2"/>
        <v>0</v>
      </c>
    </row>
    <row r="108" spans="1:8" ht="15.75">
      <c r="A108" s="29">
        <v>44674</v>
      </c>
      <c r="B108" s="30" t="s">
        <v>9</v>
      </c>
      <c r="C108" s="33">
        <v>449</v>
      </c>
      <c r="D108" s="32">
        <v>44675</v>
      </c>
      <c r="E108" s="30" t="s">
        <v>8</v>
      </c>
      <c r="F108" s="31">
        <v>2479.94</v>
      </c>
      <c r="G108" s="30" t="s">
        <v>11</v>
      </c>
      <c r="H108" s="35" t="b">
        <f t="shared" si="2"/>
        <v>0</v>
      </c>
    </row>
    <row r="109" spans="1:8" ht="15.75">
      <c r="A109" s="29">
        <v>44678</v>
      </c>
      <c r="B109" s="30" t="s">
        <v>15</v>
      </c>
      <c r="C109" s="31">
        <v>149.94999999999999</v>
      </c>
      <c r="D109" s="32">
        <v>44679</v>
      </c>
      <c r="E109" s="30" t="s">
        <v>8</v>
      </c>
      <c r="F109" s="31">
        <v>1732.99</v>
      </c>
      <c r="G109" s="30" t="s">
        <v>13</v>
      </c>
      <c r="H109" s="35" t="b">
        <f t="shared" si="2"/>
        <v>0</v>
      </c>
    </row>
    <row r="110" spans="1:8" ht="15.75">
      <c r="A110" s="29">
        <v>44685</v>
      </c>
      <c r="B110" s="30" t="s">
        <v>15</v>
      </c>
      <c r="C110" s="31">
        <v>129.94999999999999</v>
      </c>
      <c r="D110" s="32">
        <v>44687</v>
      </c>
      <c r="E110" s="30" t="s">
        <v>8</v>
      </c>
      <c r="F110" s="31">
        <v>1174.99</v>
      </c>
      <c r="G110" s="30" t="s">
        <v>10</v>
      </c>
      <c r="H110" s="35" t="b">
        <f t="shared" si="2"/>
        <v>0</v>
      </c>
    </row>
    <row r="111" spans="1:8" ht="15.75">
      <c r="A111" s="29">
        <v>44688</v>
      </c>
      <c r="B111" s="30" t="s">
        <v>18</v>
      </c>
      <c r="C111" s="33">
        <v>399</v>
      </c>
      <c r="D111" s="32">
        <v>44688</v>
      </c>
      <c r="E111" s="30" t="s">
        <v>8</v>
      </c>
      <c r="F111" s="31">
        <v>1799.99</v>
      </c>
      <c r="G111" s="30" t="s">
        <v>12</v>
      </c>
      <c r="H111" s="35" t="b">
        <f t="shared" si="2"/>
        <v>1</v>
      </c>
    </row>
    <row r="112" spans="1:8" ht="15.75">
      <c r="A112" s="29">
        <v>44694</v>
      </c>
      <c r="B112" s="30" t="s">
        <v>18</v>
      </c>
      <c r="C112" s="31">
        <v>183.9</v>
      </c>
      <c r="D112" s="32">
        <v>44695</v>
      </c>
      <c r="E112" s="30" t="s">
        <v>18</v>
      </c>
      <c r="F112" s="31">
        <v>183.9</v>
      </c>
      <c r="G112" s="30" t="s">
        <v>13</v>
      </c>
      <c r="H112" s="35" t="b">
        <f t="shared" si="2"/>
        <v>0</v>
      </c>
    </row>
    <row r="113" spans="1:8" ht="15.75">
      <c r="A113" s="29">
        <v>44696</v>
      </c>
      <c r="B113" s="30" t="s">
        <v>18</v>
      </c>
      <c r="C113" s="33">
        <v>299</v>
      </c>
      <c r="D113" s="32">
        <v>44697</v>
      </c>
      <c r="E113" s="30" t="s">
        <v>19</v>
      </c>
      <c r="F113" s="33">
        <v>565</v>
      </c>
      <c r="G113" s="30" t="s">
        <v>12</v>
      </c>
      <c r="H113" s="35" t="b">
        <f t="shared" si="2"/>
        <v>0</v>
      </c>
    </row>
    <row r="114" spans="1:8" ht="15.75">
      <c r="A114" s="29">
        <v>44698</v>
      </c>
      <c r="B114" s="30" t="s">
        <v>19</v>
      </c>
      <c r="C114" s="33">
        <v>560</v>
      </c>
      <c r="D114" s="32">
        <v>44700</v>
      </c>
      <c r="E114" s="30" t="s">
        <v>19</v>
      </c>
      <c r="F114" s="33">
        <v>560</v>
      </c>
      <c r="G114" s="30" t="s">
        <v>11</v>
      </c>
      <c r="H114" s="35" t="b">
        <f t="shared" si="2"/>
        <v>0</v>
      </c>
    </row>
    <row r="115" spans="1:8" ht="15.75">
      <c r="A115" s="29">
        <v>44700</v>
      </c>
      <c r="B115" s="30" t="s">
        <v>19</v>
      </c>
      <c r="C115" s="33">
        <v>565</v>
      </c>
      <c r="D115" s="32">
        <v>44700</v>
      </c>
      <c r="E115" s="30" t="s">
        <v>18</v>
      </c>
      <c r="F115" s="33">
        <v>299</v>
      </c>
      <c r="G115" s="30" t="s">
        <v>10</v>
      </c>
      <c r="H115" s="35" t="b">
        <f t="shared" si="2"/>
        <v>1</v>
      </c>
    </row>
    <row r="120" spans="1:8">
      <c r="F120" t="s">
        <v>29</v>
      </c>
    </row>
    <row r="121" spans="1:8">
      <c r="F121" t="s">
        <v>30</v>
      </c>
    </row>
    <row r="122" spans="1:8">
      <c r="F122" t="s">
        <v>31</v>
      </c>
    </row>
    <row r="133" spans="1:8" ht="18.75">
      <c r="A133" s="37" t="s">
        <v>32</v>
      </c>
      <c r="B133" s="36"/>
      <c r="C133" s="36"/>
      <c r="D133" s="36"/>
      <c r="E133" s="36"/>
      <c r="F133" s="36"/>
      <c r="G133" s="36"/>
      <c r="H133" s="36"/>
    </row>
    <row r="134" spans="1:8" ht="37.5">
      <c r="A134" s="38" t="s">
        <v>33</v>
      </c>
      <c r="B134" s="39" t="s">
        <v>2</v>
      </c>
      <c r="C134" s="39" t="s">
        <v>3</v>
      </c>
      <c r="D134" s="39" t="s">
        <v>34</v>
      </c>
      <c r="E134" s="39" t="s">
        <v>35</v>
      </c>
      <c r="F134" s="39" t="s">
        <v>36</v>
      </c>
      <c r="G134" s="39" t="s">
        <v>6</v>
      </c>
      <c r="H134" s="45" t="s">
        <v>37</v>
      </c>
    </row>
    <row r="135" spans="1:8" ht="15.75">
      <c r="A135" s="40">
        <v>44621</v>
      </c>
      <c r="B135" s="41" t="s">
        <v>8</v>
      </c>
      <c r="C135" s="42">
        <v>2479.94</v>
      </c>
      <c r="D135" s="43">
        <v>44621</v>
      </c>
      <c r="E135" s="41" t="s">
        <v>38</v>
      </c>
      <c r="F135" s="42" t="s">
        <v>39</v>
      </c>
      <c r="G135" s="41" t="s">
        <v>10</v>
      </c>
      <c r="H135" s="46" t="b">
        <f>AND(OR(B135="laptop",B135="mobile phone"),F135="astro")</f>
        <v>1</v>
      </c>
    </row>
    <row r="136" spans="1:8" ht="15.75">
      <c r="A136" s="40">
        <v>44635</v>
      </c>
      <c r="B136" s="41" t="s">
        <v>8</v>
      </c>
      <c r="C136" s="42">
        <v>1732.99</v>
      </c>
      <c r="D136" s="43">
        <v>44636</v>
      </c>
      <c r="E136" s="41" t="s">
        <v>40</v>
      </c>
      <c r="F136" s="42" t="s">
        <v>41</v>
      </c>
      <c r="G136" s="41" t="s">
        <v>11</v>
      </c>
      <c r="H136" s="46" t="b">
        <f t="shared" ref="H136:H154" si="3">AND(OR(B136="laptop",B136="mobile phone"),F136="astro")</f>
        <v>0</v>
      </c>
    </row>
    <row r="137" spans="1:8" ht="15.75">
      <c r="A137" s="40">
        <v>44637</v>
      </c>
      <c r="B137" s="41" t="s">
        <v>8</v>
      </c>
      <c r="C137" s="42">
        <v>1174.99</v>
      </c>
      <c r="D137" s="43">
        <v>44638</v>
      </c>
      <c r="E137" s="41" t="s">
        <v>38</v>
      </c>
      <c r="F137" s="44" t="s">
        <v>39</v>
      </c>
      <c r="G137" s="41" t="s">
        <v>10</v>
      </c>
      <c r="H137" s="46" t="b">
        <f t="shared" si="3"/>
        <v>1</v>
      </c>
    </row>
    <row r="138" spans="1:8" ht="15.75">
      <c r="A138" s="40">
        <v>44639</v>
      </c>
      <c r="B138" s="41" t="s">
        <v>8</v>
      </c>
      <c r="C138" s="42">
        <v>1799.99</v>
      </c>
      <c r="D138" s="43">
        <v>44641</v>
      </c>
      <c r="E138" s="41" t="s">
        <v>40</v>
      </c>
      <c r="F138" s="44" t="s">
        <v>41</v>
      </c>
      <c r="G138" s="41" t="s">
        <v>12</v>
      </c>
      <c r="H138" s="46" t="b">
        <f t="shared" si="3"/>
        <v>0</v>
      </c>
    </row>
    <row r="139" spans="1:8" ht="15.75">
      <c r="A139" s="40">
        <v>44642</v>
      </c>
      <c r="B139" s="41" t="s">
        <v>8</v>
      </c>
      <c r="C139" s="42">
        <v>3164.99</v>
      </c>
      <c r="D139" s="43">
        <v>44643</v>
      </c>
      <c r="E139" s="41" t="s">
        <v>42</v>
      </c>
      <c r="F139" s="44" t="s">
        <v>43</v>
      </c>
      <c r="G139" s="41" t="s">
        <v>13</v>
      </c>
      <c r="H139" s="46" t="b">
        <f t="shared" si="3"/>
        <v>0</v>
      </c>
    </row>
    <row r="140" spans="1:8" ht="15.75">
      <c r="A140" s="40">
        <v>44645</v>
      </c>
      <c r="B140" s="41" t="s">
        <v>8</v>
      </c>
      <c r="C140" s="42">
        <v>1199</v>
      </c>
      <c r="D140" s="43">
        <v>44646</v>
      </c>
      <c r="E140" s="41" t="s">
        <v>38</v>
      </c>
      <c r="F140" s="42" t="s">
        <v>41</v>
      </c>
      <c r="G140" s="41" t="s">
        <v>14</v>
      </c>
      <c r="H140" s="46" t="b">
        <f t="shared" si="3"/>
        <v>0</v>
      </c>
    </row>
    <row r="141" spans="1:8" ht="15.75">
      <c r="A141" s="40">
        <v>44648</v>
      </c>
      <c r="B141" s="41" t="s">
        <v>9</v>
      </c>
      <c r="C141" s="42">
        <v>699.95</v>
      </c>
      <c r="D141" s="43">
        <v>44649</v>
      </c>
      <c r="E141" s="41" t="s">
        <v>40</v>
      </c>
      <c r="F141" s="44" t="s">
        <v>39</v>
      </c>
      <c r="G141" s="41" t="s">
        <v>10</v>
      </c>
      <c r="H141" s="46" t="b">
        <f t="shared" si="3"/>
        <v>1</v>
      </c>
    </row>
    <row r="142" spans="1:8" ht="15.75">
      <c r="A142" s="40">
        <v>44649</v>
      </c>
      <c r="B142" s="41" t="s">
        <v>9</v>
      </c>
      <c r="C142" s="44">
        <v>949</v>
      </c>
      <c r="D142" s="43">
        <v>44649</v>
      </c>
      <c r="E142" s="41" t="s">
        <v>40</v>
      </c>
      <c r="F142" s="42" t="s">
        <v>43</v>
      </c>
      <c r="G142" s="41" t="s">
        <v>16</v>
      </c>
      <c r="H142" s="46" t="b">
        <f t="shared" si="3"/>
        <v>0</v>
      </c>
    </row>
    <row r="143" spans="1:8" ht="15.75">
      <c r="A143" s="40">
        <v>44653</v>
      </c>
      <c r="B143" s="41" t="s">
        <v>9</v>
      </c>
      <c r="C143" s="44">
        <v>429</v>
      </c>
      <c r="D143" s="43">
        <v>44654</v>
      </c>
      <c r="E143" s="41" t="s">
        <v>38</v>
      </c>
      <c r="F143" s="42" t="s">
        <v>43</v>
      </c>
      <c r="G143" s="41" t="s">
        <v>17</v>
      </c>
      <c r="H143" s="46" t="b">
        <f t="shared" si="3"/>
        <v>0</v>
      </c>
    </row>
    <row r="144" spans="1:8" ht="15.75">
      <c r="A144" s="40">
        <v>44656</v>
      </c>
      <c r="B144" s="41" t="s">
        <v>9</v>
      </c>
      <c r="C144" s="44">
        <v>1525</v>
      </c>
      <c r="D144" s="43">
        <v>44657</v>
      </c>
      <c r="E144" s="41" t="s">
        <v>42</v>
      </c>
      <c r="F144" s="44" t="s">
        <v>39</v>
      </c>
      <c r="G144" s="41" t="s">
        <v>10</v>
      </c>
      <c r="H144" s="46" t="b">
        <f t="shared" si="3"/>
        <v>1</v>
      </c>
    </row>
    <row r="145" spans="1:8" ht="15.75">
      <c r="A145" s="40">
        <v>44662</v>
      </c>
      <c r="B145" s="41" t="s">
        <v>8</v>
      </c>
      <c r="C145" s="42">
        <v>1799.99</v>
      </c>
      <c r="D145" s="43">
        <v>44664</v>
      </c>
      <c r="E145" s="41" t="s">
        <v>42</v>
      </c>
      <c r="F145" s="42" t="s">
        <v>41</v>
      </c>
      <c r="G145" s="41" t="s">
        <v>16</v>
      </c>
      <c r="H145" s="46" t="b">
        <f t="shared" si="3"/>
        <v>0</v>
      </c>
    </row>
    <row r="146" spans="1:8" ht="15.75">
      <c r="A146" s="40">
        <v>44668</v>
      </c>
      <c r="B146" s="41" t="s">
        <v>9</v>
      </c>
      <c r="C146" s="44">
        <v>475</v>
      </c>
      <c r="D146" s="43">
        <v>44669</v>
      </c>
      <c r="E146" s="41" t="s">
        <v>40</v>
      </c>
      <c r="F146" s="44" t="s">
        <v>39</v>
      </c>
      <c r="G146" s="41" t="s">
        <v>10</v>
      </c>
      <c r="H146" s="46" t="b">
        <f t="shared" si="3"/>
        <v>1</v>
      </c>
    </row>
    <row r="147" spans="1:8" ht="15.75">
      <c r="A147" s="40">
        <v>44674</v>
      </c>
      <c r="B147" s="41" t="s">
        <v>9</v>
      </c>
      <c r="C147" s="44">
        <v>449</v>
      </c>
      <c r="D147" s="43">
        <v>44675</v>
      </c>
      <c r="E147" s="41" t="s">
        <v>38</v>
      </c>
      <c r="F147" s="42" t="s">
        <v>41</v>
      </c>
      <c r="G147" s="41" t="s">
        <v>11</v>
      </c>
      <c r="H147" s="46" t="b">
        <f t="shared" si="3"/>
        <v>0</v>
      </c>
    </row>
    <row r="148" spans="1:8" ht="15.75">
      <c r="A148" s="40">
        <v>44678</v>
      </c>
      <c r="B148" s="41" t="s">
        <v>15</v>
      </c>
      <c r="C148" s="42">
        <v>149.94999999999999</v>
      </c>
      <c r="D148" s="43">
        <v>44679</v>
      </c>
      <c r="E148" s="41" t="s">
        <v>40</v>
      </c>
      <c r="F148" s="42" t="s">
        <v>39</v>
      </c>
      <c r="G148" s="41" t="s">
        <v>10</v>
      </c>
      <c r="H148" s="46" t="b">
        <f t="shared" si="3"/>
        <v>0</v>
      </c>
    </row>
    <row r="149" spans="1:8" ht="15.75">
      <c r="A149" s="40">
        <v>44685</v>
      </c>
      <c r="B149" s="41" t="s">
        <v>15</v>
      </c>
      <c r="C149" s="42">
        <v>129.94999999999999</v>
      </c>
      <c r="D149" s="43">
        <v>44687</v>
      </c>
      <c r="E149" s="41" t="s">
        <v>38</v>
      </c>
      <c r="F149" s="42" t="s">
        <v>43</v>
      </c>
      <c r="G149" s="41" t="s">
        <v>13</v>
      </c>
      <c r="H149" s="46" t="b">
        <f t="shared" si="3"/>
        <v>0</v>
      </c>
    </row>
    <row r="150" spans="1:8" ht="15.75">
      <c r="A150" s="40">
        <v>44688</v>
      </c>
      <c r="B150" s="41" t="s">
        <v>18</v>
      </c>
      <c r="C150" s="44">
        <v>399</v>
      </c>
      <c r="D150" s="43">
        <v>44688</v>
      </c>
      <c r="E150" s="41" t="s">
        <v>38</v>
      </c>
      <c r="F150" s="42" t="s">
        <v>43</v>
      </c>
      <c r="G150" s="41" t="s">
        <v>44</v>
      </c>
      <c r="H150" s="46" t="b">
        <f t="shared" si="3"/>
        <v>0</v>
      </c>
    </row>
    <row r="151" spans="1:8" ht="15.75">
      <c r="A151" s="40">
        <v>44694</v>
      </c>
      <c r="B151" s="41" t="s">
        <v>18</v>
      </c>
      <c r="C151" s="42">
        <v>183.9</v>
      </c>
      <c r="D151" s="43">
        <v>44695</v>
      </c>
      <c r="E151" s="41" t="s">
        <v>40</v>
      </c>
      <c r="F151" s="42" t="s">
        <v>39</v>
      </c>
      <c r="G151" s="41" t="s">
        <v>10</v>
      </c>
      <c r="H151" s="46" t="b">
        <f t="shared" si="3"/>
        <v>0</v>
      </c>
    </row>
    <row r="152" spans="1:8" ht="15.75">
      <c r="A152" s="40">
        <v>44696</v>
      </c>
      <c r="B152" s="41" t="s">
        <v>18</v>
      </c>
      <c r="C152" s="44">
        <v>299</v>
      </c>
      <c r="D152" s="43">
        <v>44697</v>
      </c>
      <c r="E152" s="41" t="s">
        <v>42</v>
      </c>
      <c r="F152" s="44" t="s">
        <v>41</v>
      </c>
      <c r="G152" s="41" t="s">
        <v>12</v>
      </c>
      <c r="H152" s="46" t="b">
        <f t="shared" si="3"/>
        <v>0</v>
      </c>
    </row>
    <row r="153" spans="1:8" ht="15.75">
      <c r="A153" s="40">
        <v>44698</v>
      </c>
      <c r="B153" s="41" t="s">
        <v>19</v>
      </c>
      <c r="C153" s="44">
        <v>560</v>
      </c>
      <c r="D153" s="43">
        <v>44700</v>
      </c>
      <c r="E153" s="41" t="s">
        <v>40</v>
      </c>
      <c r="F153" s="44" t="s">
        <v>41</v>
      </c>
      <c r="G153" s="41" t="s">
        <v>11</v>
      </c>
      <c r="H153" s="46" t="b">
        <f t="shared" si="3"/>
        <v>0</v>
      </c>
    </row>
    <row r="154" spans="1:8" ht="15.75">
      <c r="A154" s="40">
        <v>44700</v>
      </c>
      <c r="B154" s="41" t="s">
        <v>19</v>
      </c>
      <c r="C154" s="44">
        <v>565</v>
      </c>
      <c r="D154" s="43">
        <v>44700</v>
      </c>
      <c r="E154" s="41" t="s">
        <v>38</v>
      </c>
      <c r="F154" s="44" t="s">
        <v>41</v>
      </c>
      <c r="G154" s="41" t="s">
        <v>14</v>
      </c>
      <c r="H154" s="46" t="b">
        <f t="shared" si="3"/>
        <v>0</v>
      </c>
    </row>
    <row r="160" spans="1:8">
      <c r="G160" t="s">
        <v>45</v>
      </c>
      <c r="H160" t="s">
        <v>46</v>
      </c>
    </row>
    <row r="161" spans="1:8">
      <c r="G161" t="s">
        <v>47</v>
      </c>
      <c r="H161" t="s">
        <v>48</v>
      </c>
    </row>
    <row r="170" spans="1:8" ht="18.75">
      <c r="A170" s="48" t="s">
        <v>49</v>
      </c>
      <c r="B170" s="47"/>
      <c r="C170" s="47"/>
      <c r="D170" s="47"/>
      <c r="E170" s="47"/>
      <c r="F170" s="47"/>
      <c r="G170" s="47"/>
      <c r="H170" s="47"/>
    </row>
    <row r="171" spans="1:8" ht="37.5">
      <c r="A171" s="49" t="s">
        <v>33</v>
      </c>
      <c r="B171" s="50" t="s">
        <v>2</v>
      </c>
      <c r="C171" s="50" t="s">
        <v>3</v>
      </c>
      <c r="D171" s="50" t="s">
        <v>34</v>
      </c>
      <c r="E171" s="50" t="s">
        <v>35</v>
      </c>
      <c r="F171" s="50" t="s">
        <v>36</v>
      </c>
      <c r="G171" s="50" t="s">
        <v>6</v>
      </c>
      <c r="H171" s="56" t="s">
        <v>50</v>
      </c>
    </row>
    <row r="172" spans="1:8" ht="15.75">
      <c r="A172" s="51">
        <v>44621</v>
      </c>
      <c r="B172" s="52" t="s">
        <v>8</v>
      </c>
      <c r="C172" s="53">
        <v>2479.94</v>
      </c>
      <c r="D172" s="54">
        <v>44621</v>
      </c>
      <c r="E172" s="52" t="s">
        <v>38</v>
      </c>
      <c r="F172" s="53" t="s">
        <v>39</v>
      </c>
      <c r="G172" s="52" t="s">
        <v>10</v>
      </c>
      <c r="H172" s="57" t="str">
        <f>IF(A172=D172,"Same Day","Delayed")</f>
        <v>Same Day</v>
      </c>
    </row>
    <row r="173" spans="1:8" ht="15.75">
      <c r="A173" s="51">
        <v>44635</v>
      </c>
      <c r="B173" s="52" t="s">
        <v>8</v>
      </c>
      <c r="C173" s="53">
        <v>1732.99</v>
      </c>
      <c r="D173" s="54">
        <v>44636</v>
      </c>
      <c r="E173" s="52" t="s">
        <v>40</v>
      </c>
      <c r="F173" s="53" t="s">
        <v>41</v>
      </c>
      <c r="G173" s="52" t="s">
        <v>11</v>
      </c>
      <c r="H173" s="57" t="str">
        <f t="shared" ref="H173:H191" si="4">IF(A173=D173,"Same Day","Delayed")</f>
        <v>Delayed</v>
      </c>
    </row>
    <row r="174" spans="1:8" ht="15.75">
      <c r="A174" s="51">
        <v>44637</v>
      </c>
      <c r="B174" s="52" t="s">
        <v>8</v>
      </c>
      <c r="C174" s="53">
        <v>1174.99</v>
      </c>
      <c r="D174" s="54">
        <v>44638</v>
      </c>
      <c r="E174" s="52" t="s">
        <v>38</v>
      </c>
      <c r="F174" s="55" t="s">
        <v>39</v>
      </c>
      <c r="G174" s="52" t="s">
        <v>10</v>
      </c>
      <c r="H174" s="57" t="str">
        <f t="shared" si="4"/>
        <v>Delayed</v>
      </c>
    </row>
    <row r="175" spans="1:8" ht="15.75">
      <c r="A175" s="51">
        <v>44639</v>
      </c>
      <c r="B175" s="52" t="s">
        <v>8</v>
      </c>
      <c r="C175" s="53">
        <v>1799.99</v>
      </c>
      <c r="D175" s="54">
        <v>44641</v>
      </c>
      <c r="E175" s="52" t="s">
        <v>40</v>
      </c>
      <c r="F175" s="55" t="s">
        <v>41</v>
      </c>
      <c r="G175" s="52" t="s">
        <v>12</v>
      </c>
      <c r="H175" s="57" t="str">
        <f t="shared" si="4"/>
        <v>Delayed</v>
      </c>
    </row>
    <row r="176" spans="1:8" ht="15.75">
      <c r="A176" s="51">
        <v>44642</v>
      </c>
      <c r="B176" s="52" t="s">
        <v>8</v>
      </c>
      <c r="C176" s="53">
        <v>3164.99</v>
      </c>
      <c r="D176" s="54">
        <v>44643</v>
      </c>
      <c r="E176" s="52" t="s">
        <v>42</v>
      </c>
      <c r="F176" s="55" t="s">
        <v>43</v>
      </c>
      <c r="G176" s="52" t="s">
        <v>13</v>
      </c>
      <c r="H176" s="57" t="str">
        <f t="shared" si="4"/>
        <v>Delayed</v>
      </c>
    </row>
    <row r="177" spans="1:8" ht="15.75">
      <c r="A177" s="51">
        <v>44645</v>
      </c>
      <c r="B177" s="52" t="s">
        <v>8</v>
      </c>
      <c r="C177" s="53">
        <v>1199</v>
      </c>
      <c r="D177" s="54">
        <v>44646</v>
      </c>
      <c r="E177" s="52" t="s">
        <v>38</v>
      </c>
      <c r="F177" s="53" t="s">
        <v>41</v>
      </c>
      <c r="G177" s="52" t="s">
        <v>14</v>
      </c>
      <c r="H177" s="57" t="str">
        <f t="shared" si="4"/>
        <v>Delayed</v>
      </c>
    </row>
    <row r="178" spans="1:8" ht="15.75">
      <c r="A178" s="51">
        <v>44648</v>
      </c>
      <c r="B178" s="52" t="s">
        <v>9</v>
      </c>
      <c r="C178" s="53">
        <v>699.95</v>
      </c>
      <c r="D178" s="54">
        <v>44649</v>
      </c>
      <c r="E178" s="52" t="s">
        <v>40</v>
      </c>
      <c r="F178" s="55" t="s">
        <v>39</v>
      </c>
      <c r="G178" s="52" t="s">
        <v>10</v>
      </c>
      <c r="H178" s="57" t="str">
        <f t="shared" si="4"/>
        <v>Delayed</v>
      </c>
    </row>
    <row r="179" spans="1:8" ht="15.75">
      <c r="A179" s="51">
        <v>44649</v>
      </c>
      <c r="B179" s="52" t="s">
        <v>9</v>
      </c>
      <c r="C179" s="55">
        <v>949</v>
      </c>
      <c r="D179" s="54">
        <v>44649</v>
      </c>
      <c r="E179" s="52" t="s">
        <v>40</v>
      </c>
      <c r="F179" s="53" t="s">
        <v>43</v>
      </c>
      <c r="G179" s="52" t="s">
        <v>16</v>
      </c>
      <c r="H179" s="57" t="str">
        <f t="shared" si="4"/>
        <v>Same Day</v>
      </c>
    </row>
    <row r="180" spans="1:8" ht="15.75">
      <c r="A180" s="51">
        <v>44653</v>
      </c>
      <c r="B180" s="52" t="s">
        <v>9</v>
      </c>
      <c r="C180" s="55">
        <v>429</v>
      </c>
      <c r="D180" s="54">
        <v>44654</v>
      </c>
      <c r="E180" s="52" t="s">
        <v>38</v>
      </c>
      <c r="F180" s="53" t="s">
        <v>43</v>
      </c>
      <c r="G180" s="52" t="s">
        <v>17</v>
      </c>
      <c r="H180" s="57" t="str">
        <f t="shared" si="4"/>
        <v>Delayed</v>
      </c>
    </row>
    <row r="181" spans="1:8" ht="15.75">
      <c r="A181" s="51">
        <v>44656</v>
      </c>
      <c r="B181" s="52" t="s">
        <v>9</v>
      </c>
      <c r="C181" s="55">
        <v>1525</v>
      </c>
      <c r="D181" s="54">
        <v>44657</v>
      </c>
      <c r="E181" s="52" t="s">
        <v>42</v>
      </c>
      <c r="F181" s="55" t="s">
        <v>39</v>
      </c>
      <c r="G181" s="52" t="s">
        <v>10</v>
      </c>
      <c r="H181" s="57" t="str">
        <f t="shared" si="4"/>
        <v>Delayed</v>
      </c>
    </row>
    <row r="182" spans="1:8" ht="15.75">
      <c r="A182" s="51">
        <v>44662</v>
      </c>
      <c r="B182" s="52" t="s">
        <v>9</v>
      </c>
      <c r="C182" s="55">
        <v>475</v>
      </c>
      <c r="D182" s="54">
        <v>44664</v>
      </c>
      <c r="E182" s="52" t="s">
        <v>42</v>
      </c>
      <c r="F182" s="53" t="s">
        <v>41</v>
      </c>
      <c r="G182" s="52" t="s">
        <v>16</v>
      </c>
      <c r="H182" s="57" t="str">
        <f t="shared" si="4"/>
        <v>Delayed</v>
      </c>
    </row>
    <row r="183" spans="1:8" ht="15.75">
      <c r="A183" s="51">
        <v>44668</v>
      </c>
      <c r="B183" s="52" t="s">
        <v>9</v>
      </c>
      <c r="C183" s="55">
        <v>449</v>
      </c>
      <c r="D183" s="54">
        <v>44669</v>
      </c>
      <c r="E183" s="52" t="s">
        <v>40</v>
      </c>
      <c r="F183" s="55" t="s">
        <v>39</v>
      </c>
      <c r="G183" s="52" t="s">
        <v>10</v>
      </c>
      <c r="H183" s="57" t="str">
        <f t="shared" si="4"/>
        <v>Delayed</v>
      </c>
    </row>
    <row r="184" spans="1:8" ht="15.75">
      <c r="A184" s="51">
        <v>44674</v>
      </c>
      <c r="B184" s="52" t="s">
        <v>15</v>
      </c>
      <c r="C184" s="53">
        <v>149.94999999999999</v>
      </c>
      <c r="D184" s="54">
        <v>44675</v>
      </c>
      <c r="E184" s="52" t="s">
        <v>38</v>
      </c>
      <c r="F184" s="53" t="s">
        <v>41</v>
      </c>
      <c r="G184" s="52" t="s">
        <v>11</v>
      </c>
      <c r="H184" s="57" t="str">
        <f t="shared" si="4"/>
        <v>Delayed</v>
      </c>
    </row>
    <row r="185" spans="1:8" ht="15.75">
      <c r="A185" s="51">
        <v>44678</v>
      </c>
      <c r="B185" s="52" t="s">
        <v>15</v>
      </c>
      <c r="C185" s="53">
        <v>129.94999999999999</v>
      </c>
      <c r="D185" s="54">
        <v>44679</v>
      </c>
      <c r="E185" s="52" t="s">
        <v>40</v>
      </c>
      <c r="F185" s="53" t="s">
        <v>39</v>
      </c>
      <c r="G185" s="52" t="s">
        <v>10</v>
      </c>
      <c r="H185" s="57" t="str">
        <f t="shared" si="4"/>
        <v>Delayed</v>
      </c>
    </row>
    <row r="186" spans="1:8" ht="15.75">
      <c r="A186" s="51">
        <v>44685</v>
      </c>
      <c r="B186" s="52" t="s">
        <v>18</v>
      </c>
      <c r="C186" s="55">
        <v>399</v>
      </c>
      <c r="D186" s="54">
        <v>44687</v>
      </c>
      <c r="E186" s="52" t="s">
        <v>38</v>
      </c>
      <c r="F186" s="53" t="s">
        <v>43</v>
      </c>
      <c r="G186" s="52" t="s">
        <v>13</v>
      </c>
      <c r="H186" s="57" t="str">
        <f t="shared" si="4"/>
        <v>Delayed</v>
      </c>
    </row>
    <row r="187" spans="1:8" ht="15.75">
      <c r="A187" s="51">
        <v>44688</v>
      </c>
      <c r="B187" s="52" t="s">
        <v>8</v>
      </c>
      <c r="C187" s="53">
        <v>1799.99</v>
      </c>
      <c r="D187" s="54">
        <v>44688</v>
      </c>
      <c r="E187" s="52" t="s">
        <v>38</v>
      </c>
      <c r="F187" s="53" t="s">
        <v>43</v>
      </c>
      <c r="G187" s="52" t="s">
        <v>44</v>
      </c>
      <c r="H187" s="57" t="str">
        <f t="shared" si="4"/>
        <v>Same Day</v>
      </c>
    </row>
    <row r="188" spans="1:8" ht="15.75">
      <c r="A188" s="51">
        <v>44694</v>
      </c>
      <c r="B188" s="52" t="s">
        <v>18</v>
      </c>
      <c r="C188" s="53">
        <v>183.9</v>
      </c>
      <c r="D188" s="54">
        <v>44695</v>
      </c>
      <c r="E188" s="52" t="s">
        <v>40</v>
      </c>
      <c r="F188" s="53" t="s">
        <v>39</v>
      </c>
      <c r="G188" s="52" t="s">
        <v>10</v>
      </c>
      <c r="H188" s="57" t="str">
        <f t="shared" si="4"/>
        <v>Delayed</v>
      </c>
    </row>
    <row r="189" spans="1:8" ht="15.75">
      <c r="A189" s="51">
        <v>44696</v>
      </c>
      <c r="B189" s="52" t="s">
        <v>18</v>
      </c>
      <c r="C189" s="55">
        <v>299</v>
      </c>
      <c r="D189" s="54">
        <v>44697</v>
      </c>
      <c r="E189" s="52" t="s">
        <v>42</v>
      </c>
      <c r="F189" s="55" t="s">
        <v>41</v>
      </c>
      <c r="G189" s="52" t="s">
        <v>12</v>
      </c>
      <c r="H189" s="57" t="str">
        <f t="shared" si="4"/>
        <v>Delayed</v>
      </c>
    </row>
    <row r="190" spans="1:8" ht="15.75">
      <c r="A190" s="51">
        <v>44698</v>
      </c>
      <c r="B190" s="52" t="s">
        <v>19</v>
      </c>
      <c r="C190" s="55">
        <v>560</v>
      </c>
      <c r="D190" s="54">
        <v>44700</v>
      </c>
      <c r="E190" s="52" t="s">
        <v>40</v>
      </c>
      <c r="F190" s="55" t="s">
        <v>41</v>
      </c>
      <c r="G190" s="52" t="s">
        <v>11</v>
      </c>
      <c r="H190" s="57" t="str">
        <f t="shared" si="4"/>
        <v>Delayed</v>
      </c>
    </row>
    <row r="191" spans="1:8" ht="15.75">
      <c r="A191" s="51">
        <v>44700</v>
      </c>
      <c r="B191" s="52" t="s">
        <v>19</v>
      </c>
      <c r="C191" s="55">
        <v>565</v>
      </c>
      <c r="D191" s="54">
        <v>44700</v>
      </c>
      <c r="E191" s="52" t="s">
        <v>38</v>
      </c>
      <c r="F191" s="55" t="s">
        <v>41</v>
      </c>
      <c r="G191" s="52" t="s">
        <v>14</v>
      </c>
      <c r="H191" s="57" t="str">
        <f t="shared" si="4"/>
        <v>Same Day</v>
      </c>
    </row>
    <row r="206" spans="1:8" ht="18.75">
      <c r="A206" s="59" t="s">
        <v>51</v>
      </c>
      <c r="B206" s="58"/>
      <c r="C206" s="58"/>
      <c r="D206" s="58"/>
      <c r="E206" s="58"/>
      <c r="F206" s="58"/>
      <c r="G206" s="58"/>
      <c r="H206" s="58"/>
    </row>
    <row r="207" spans="1:8" ht="37.5">
      <c r="A207" s="60" t="s">
        <v>33</v>
      </c>
      <c r="B207" s="61" t="s">
        <v>2</v>
      </c>
      <c r="C207" s="61" t="s">
        <v>3</v>
      </c>
      <c r="D207" s="61" t="s">
        <v>34</v>
      </c>
      <c r="E207" s="61" t="s">
        <v>35</v>
      </c>
      <c r="F207" s="61" t="s">
        <v>36</v>
      </c>
      <c r="G207" s="61" t="s">
        <v>6</v>
      </c>
      <c r="H207" s="67" t="s">
        <v>52</v>
      </c>
    </row>
    <row r="208" spans="1:8" ht="15.75">
      <c r="A208" s="62">
        <v>44621</v>
      </c>
      <c r="B208" s="63" t="s">
        <v>8</v>
      </c>
      <c r="C208" s="64">
        <v>2479.94</v>
      </c>
      <c r="D208" s="65">
        <v>44621</v>
      </c>
      <c r="E208" s="63" t="s">
        <v>38</v>
      </c>
      <c r="F208" s="64" t="s">
        <v>39</v>
      </c>
      <c r="G208" s="63" t="s">
        <v>10</v>
      </c>
      <c r="H208" s="68">
        <f>A231*B231/100</f>
        <v>0.05</v>
      </c>
    </row>
    <row r="209" spans="1:8" ht="15.75">
      <c r="A209" s="62">
        <v>44635</v>
      </c>
      <c r="B209" s="63" t="s">
        <v>8</v>
      </c>
      <c r="C209" s="64">
        <v>1732.99</v>
      </c>
      <c r="D209" s="65">
        <v>44636</v>
      </c>
      <c r="E209" s="63" t="s">
        <v>40</v>
      </c>
      <c r="F209" s="64" t="s">
        <v>41</v>
      </c>
      <c r="G209" s="63" t="s">
        <v>11</v>
      </c>
      <c r="H209" s="89">
        <f t="shared" ref="H209:H211" si="5">A232*B232/100</f>
        <v>0.36</v>
      </c>
    </row>
    <row r="210" spans="1:8" ht="15.75">
      <c r="A210" s="62">
        <v>44637</v>
      </c>
      <c r="B210" s="63" t="s">
        <v>8</v>
      </c>
      <c r="C210" s="64">
        <v>1174.99</v>
      </c>
      <c r="D210" s="65">
        <v>44638</v>
      </c>
      <c r="E210" s="63" t="s">
        <v>38</v>
      </c>
      <c r="F210" s="66" t="s">
        <v>39</v>
      </c>
      <c r="G210" s="63" t="s">
        <v>10</v>
      </c>
      <c r="H210" s="89">
        <f t="shared" si="5"/>
        <v>1.1900000000000002</v>
      </c>
    </row>
    <row r="211" spans="1:8" ht="15.75">
      <c r="A211" s="62">
        <v>44639</v>
      </c>
      <c r="B211" s="63" t="s">
        <v>8</v>
      </c>
      <c r="C211" s="64">
        <v>1799.99</v>
      </c>
      <c r="D211" s="65">
        <v>44641</v>
      </c>
      <c r="E211" s="63" t="s">
        <v>40</v>
      </c>
      <c r="F211" s="66" t="s">
        <v>41</v>
      </c>
      <c r="G211" s="63" t="s">
        <v>12</v>
      </c>
      <c r="H211" s="89">
        <f t="shared" si="5"/>
        <v>4.2</v>
      </c>
    </row>
    <row r="212" spans="1:8" ht="15.75">
      <c r="A212" s="62">
        <v>44642</v>
      </c>
      <c r="B212" s="63" t="s">
        <v>8</v>
      </c>
      <c r="C212" s="64">
        <v>3164.99</v>
      </c>
      <c r="D212" s="65">
        <v>44643</v>
      </c>
      <c r="E212" s="63" t="s">
        <v>42</v>
      </c>
      <c r="F212" s="66" t="s">
        <v>43</v>
      </c>
      <c r="G212" s="63" t="s">
        <v>13</v>
      </c>
      <c r="H212" s="69"/>
    </row>
    <row r="213" spans="1:8" ht="15.75">
      <c r="A213" s="62">
        <v>44645</v>
      </c>
      <c r="B213" s="63" t="s">
        <v>8</v>
      </c>
      <c r="C213" s="64">
        <v>1199</v>
      </c>
      <c r="D213" s="65">
        <v>44646</v>
      </c>
      <c r="E213" s="63" t="s">
        <v>38</v>
      </c>
      <c r="F213" s="64" t="s">
        <v>41</v>
      </c>
      <c r="G213" s="63" t="s">
        <v>14</v>
      </c>
      <c r="H213" s="69"/>
    </row>
    <row r="214" spans="1:8" ht="15.75">
      <c r="A214" s="62">
        <v>44648</v>
      </c>
      <c r="B214" s="63" t="s">
        <v>9</v>
      </c>
      <c r="C214" s="64">
        <v>699.95</v>
      </c>
      <c r="D214" s="65">
        <v>44649</v>
      </c>
      <c r="E214" s="63" t="s">
        <v>40</v>
      </c>
      <c r="F214" s="66" t="s">
        <v>39</v>
      </c>
      <c r="G214" s="63" t="s">
        <v>10</v>
      </c>
      <c r="H214" s="68"/>
    </row>
    <row r="215" spans="1:8" ht="15.75">
      <c r="A215" s="62">
        <v>44649</v>
      </c>
      <c r="B215" s="63" t="s">
        <v>9</v>
      </c>
      <c r="C215" s="66">
        <v>949</v>
      </c>
      <c r="D215" s="65">
        <v>44649</v>
      </c>
      <c r="E215" s="63" t="s">
        <v>40</v>
      </c>
      <c r="F215" s="64" t="s">
        <v>43</v>
      </c>
      <c r="G215" s="63" t="s">
        <v>16</v>
      </c>
      <c r="H215" s="68"/>
    </row>
    <row r="216" spans="1:8" ht="15.75">
      <c r="A216" s="62">
        <v>44653</v>
      </c>
      <c r="B216" s="63" t="s">
        <v>9</v>
      </c>
      <c r="C216" s="66">
        <v>429</v>
      </c>
      <c r="D216" s="65">
        <v>44654</v>
      </c>
      <c r="E216" s="63" t="s">
        <v>38</v>
      </c>
      <c r="F216" s="64" t="s">
        <v>43</v>
      </c>
      <c r="G216" s="63" t="s">
        <v>17</v>
      </c>
      <c r="H216" s="68"/>
    </row>
    <row r="217" spans="1:8" ht="15.75">
      <c r="A217" s="62">
        <v>44656</v>
      </c>
      <c r="B217" s="63" t="s">
        <v>9</v>
      </c>
      <c r="C217" s="66">
        <v>1525</v>
      </c>
      <c r="D217" s="65">
        <v>44657</v>
      </c>
      <c r="E217" s="63" t="s">
        <v>42</v>
      </c>
      <c r="F217" s="66" t="s">
        <v>39</v>
      </c>
      <c r="G217" s="63" t="s">
        <v>10</v>
      </c>
      <c r="H217" s="68"/>
    </row>
    <row r="218" spans="1:8" ht="15.75">
      <c r="A218" s="62">
        <v>44662</v>
      </c>
      <c r="B218" s="63" t="s">
        <v>9</v>
      </c>
      <c r="C218" s="66">
        <v>475</v>
      </c>
      <c r="D218" s="65">
        <v>44664</v>
      </c>
      <c r="E218" s="63" t="s">
        <v>42</v>
      </c>
      <c r="F218" s="64" t="s">
        <v>41</v>
      </c>
      <c r="G218" s="63" t="s">
        <v>16</v>
      </c>
      <c r="H218" s="68"/>
    </row>
    <row r="219" spans="1:8" ht="15.75">
      <c r="A219" s="62">
        <v>44668</v>
      </c>
      <c r="B219" s="63" t="s">
        <v>9</v>
      </c>
      <c r="C219" s="66">
        <v>449</v>
      </c>
      <c r="D219" s="65">
        <v>44669</v>
      </c>
      <c r="E219" s="63" t="s">
        <v>40</v>
      </c>
      <c r="F219" s="66" t="s">
        <v>39</v>
      </c>
      <c r="G219" s="63" t="s">
        <v>10</v>
      </c>
      <c r="H219" s="68"/>
    </row>
    <row r="220" spans="1:8" ht="15.75">
      <c r="A220" s="62">
        <v>44674</v>
      </c>
      <c r="B220" s="63" t="s">
        <v>15</v>
      </c>
      <c r="C220" s="64">
        <v>149.94999999999999</v>
      </c>
      <c r="D220" s="65">
        <v>44675</v>
      </c>
      <c r="E220" s="63" t="s">
        <v>38</v>
      </c>
      <c r="F220" s="64" t="s">
        <v>41</v>
      </c>
      <c r="G220" s="63" t="s">
        <v>11</v>
      </c>
      <c r="H220" s="68"/>
    </row>
    <row r="221" spans="1:8" ht="15.75">
      <c r="A221" s="62">
        <v>44678</v>
      </c>
      <c r="B221" s="63" t="s">
        <v>15</v>
      </c>
      <c r="C221" s="64">
        <v>129.94999999999999</v>
      </c>
      <c r="D221" s="65">
        <v>44679</v>
      </c>
      <c r="E221" s="63" t="s">
        <v>40</v>
      </c>
      <c r="F221" s="64" t="s">
        <v>39</v>
      </c>
      <c r="G221" s="63" t="s">
        <v>10</v>
      </c>
      <c r="H221" s="68"/>
    </row>
    <row r="222" spans="1:8" ht="15.75">
      <c r="A222" s="62">
        <v>44685</v>
      </c>
      <c r="B222" s="63" t="s">
        <v>18</v>
      </c>
      <c r="C222" s="66">
        <v>399</v>
      </c>
      <c r="D222" s="65">
        <v>44687</v>
      </c>
      <c r="E222" s="63" t="s">
        <v>38</v>
      </c>
      <c r="F222" s="64" t="s">
        <v>43</v>
      </c>
      <c r="G222" s="63" t="s">
        <v>13</v>
      </c>
      <c r="H222" s="68"/>
    </row>
    <row r="223" spans="1:8" ht="15.75">
      <c r="A223" s="62">
        <v>44688</v>
      </c>
      <c r="B223" s="63" t="s">
        <v>8</v>
      </c>
      <c r="C223" s="64">
        <v>1799.99</v>
      </c>
      <c r="D223" s="65">
        <v>44688</v>
      </c>
      <c r="E223" s="63" t="s">
        <v>38</v>
      </c>
      <c r="F223" s="64" t="s">
        <v>43</v>
      </c>
      <c r="G223" s="63" t="s">
        <v>44</v>
      </c>
      <c r="H223" s="68"/>
    </row>
    <row r="224" spans="1:8" ht="15.75">
      <c r="A224" s="62">
        <v>44694</v>
      </c>
      <c r="B224" s="63" t="s">
        <v>18</v>
      </c>
      <c r="C224" s="64">
        <v>183.9</v>
      </c>
      <c r="D224" s="65">
        <v>44695</v>
      </c>
      <c r="E224" s="63" t="s">
        <v>40</v>
      </c>
      <c r="F224" s="64" t="s">
        <v>39</v>
      </c>
      <c r="G224" s="63" t="s">
        <v>10</v>
      </c>
      <c r="H224" s="68"/>
    </row>
    <row r="225" spans="1:8" ht="15.75">
      <c r="A225" s="62">
        <v>44696</v>
      </c>
      <c r="B225" s="63" t="s">
        <v>18</v>
      </c>
      <c r="C225" s="66">
        <v>299</v>
      </c>
      <c r="D225" s="65">
        <v>44697</v>
      </c>
      <c r="E225" s="63" t="s">
        <v>42</v>
      </c>
      <c r="F225" s="66" t="s">
        <v>41</v>
      </c>
      <c r="G225" s="63" t="s">
        <v>12</v>
      </c>
      <c r="H225" s="68"/>
    </row>
    <row r="226" spans="1:8" ht="15.75">
      <c r="A226" s="62">
        <v>44698</v>
      </c>
      <c r="B226" s="63" t="s">
        <v>19</v>
      </c>
      <c r="C226" s="66">
        <v>560</v>
      </c>
      <c r="D226" s="65">
        <v>44700</v>
      </c>
      <c r="E226" s="63" t="s">
        <v>40</v>
      </c>
      <c r="F226" s="66" t="s">
        <v>41</v>
      </c>
      <c r="G226" s="63" t="s">
        <v>11</v>
      </c>
      <c r="H226" s="68"/>
    </row>
    <row r="227" spans="1:8" ht="15.75">
      <c r="A227" s="62">
        <v>44700</v>
      </c>
      <c r="B227" s="63" t="s">
        <v>19</v>
      </c>
      <c r="C227" s="66">
        <v>565</v>
      </c>
      <c r="D227" s="65">
        <v>44700</v>
      </c>
      <c r="E227" s="63" t="s">
        <v>38</v>
      </c>
      <c r="F227" s="66" t="s">
        <v>41</v>
      </c>
      <c r="G227" s="63" t="s">
        <v>14</v>
      </c>
      <c r="H227" s="68"/>
    </row>
    <row r="230" spans="1:8" ht="18.75">
      <c r="A230" s="70" t="s">
        <v>3</v>
      </c>
      <c r="B230" s="71" t="s">
        <v>52</v>
      </c>
    </row>
    <row r="231" spans="1:8" ht="15.75">
      <c r="A231" s="72">
        <v>500</v>
      </c>
      <c r="B231" s="73">
        <v>0.01</v>
      </c>
      <c r="H231" t="s">
        <v>54</v>
      </c>
    </row>
    <row r="232" spans="1:8" ht="15.75">
      <c r="A232" s="72">
        <v>1200</v>
      </c>
      <c r="B232" s="73">
        <v>0.03</v>
      </c>
    </row>
    <row r="233" spans="1:8" ht="15.75">
      <c r="A233" s="72">
        <v>1700</v>
      </c>
      <c r="B233" s="73">
        <v>7.0000000000000007E-2</v>
      </c>
    </row>
    <row r="234" spans="1:8" ht="15.75">
      <c r="A234" s="72">
        <v>2800</v>
      </c>
      <c r="B234" s="73">
        <v>0.15</v>
      </c>
    </row>
    <row r="241" spans="1:8" ht="18.75">
      <c r="A241" s="75" t="s">
        <v>53</v>
      </c>
      <c r="B241" s="74"/>
      <c r="C241" s="74"/>
      <c r="D241" s="74"/>
      <c r="E241" s="74"/>
      <c r="F241" s="74"/>
      <c r="G241" s="74"/>
      <c r="H241" s="74"/>
    </row>
    <row r="242" spans="1:8" ht="37.5">
      <c r="A242" s="76" t="s">
        <v>33</v>
      </c>
      <c r="B242" s="77" t="s">
        <v>2</v>
      </c>
      <c r="C242" s="77" t="s">
        <v>3</v>
      </c>
      <c r="D242" s="77" t="s">
        <v>34</v>
      </c>
      <c r="E242" s="77" t="s">
        <v>35</v>
      </c>
      <c r="F242" s="77" t="s">
        <v>36</v>
      </c>
      <c r="G242" s="77" t="s">
        <v>6</v>
      </c>
      <c r="H242" s="83" t="s">
        <v>52</v>
      </c>
    </row>
    <row r="243" spans="1:8" ht="15.75">
      <c r="A243" s="85">
        <v>44621</v>
      </c>
      <c r="B243" s="86" t="s">
        <v>8</v>
      </c>
      <c r="C243" s="87">
        <v>2479.94</v>
      </c>
      <c r="D243" s="88">
        <v>44621</v>
      </c>
      <c r="E243" s="86" t="s">
        <v>38</v>
      </c>
      <c r="F243" s="87" t="s">
        <v>39</v>
      </c>
      <c r="G243" s="86" t="s">
        <v>10</v>
      </c>
      <c r="H243" s="84"/>
    </row>
    <row r="244" spans="1:8" ht="15.75">
      <c r="A244" s="78">
        <v>44635</v>
      </c>
      <c r="B244" s="79" t="s">
        <v>8</v>
      </c>
      <c r="C244" s="80">
        <v>1732.99</v>
      </c>
      <c r="D244" s="81">
        <v>44636</v>
      </c>
      <c r="E244" s="79" t="s">
        <v>40</v>
      </c>
      <c r="F244" s="80" t="s">
        <v>41</v>
      </c>
      <c r="G244" s="79" t="s">
        <v>11</v>
      </c>
      <c r="H244" s="84"/>
    </row>
    <row r="245" spans="1:8" ht="15.75">
      <c r="A245" s="78">
        <v>44637</v>
      </c>
      <c r="B245" s="79" t="s">
        <v>8</v>
      </c>
      <c r="C245" s="80">
        <v>1174.99</v>
      </c>
      <c r="D245" s="81">
        <v>44638</v>
      </c>
      <c r="E245" s="79" t="s">
        <v>38</v>
      </c>
      <c r="F245" s="82" t="s">
        <v>39</v>
      </c>
      <c r="G245" s="79" t="s">
        <v>10</v>
      </c>
      <c r="H245" s="84"/>
    </row>
    <row r="246" spans="1:8" ht="15.75">
      <c r="A246" s="78">
        <v>44639</v>
      </c>
      <c r="B246" s="79" t="s">
        <v>8</v>
      </c>
      <c r="C246" s="80">
        <v>1799.99</v>
      </c>
      <c r="D246" s="81">
        <v>44641</v>
      </c>
      <c r="E246" s="79" t="s">
        <v>40</v>
      </c>
      <c r="F246" s="82" t="s">
        <v>41</v>
      </c>
      <c r="G246" s="79" t="s">
        <v>12</v>
      </c>
      <c r="H246" s="84"/>
    </row>
    <row r="247" spans="1:8" ht="15.75">
      <c r="A247" s="78">
        <v>44642</v>
      </c>
      <c r="B247" s="79" t="s">
        <v>8</v>
      </c>
      <c r="C247" s="80">
        <v>3164.99</v>
      </c>
      <c r="D247" s="81">
        <v>44643</v>
      </c>
      <c r="E247" s="79" t="s">
        <v>42</v>
      </c>
      <c r="F247" s="82" t="s">
        <v>43</v>
      </c>
      <c r="G247" s="79" t="s">
        <v>13</v>
      </c>
      <c r="H247" s="84"/>
    </row>
    <row r="248" spans="1:8" ht="15.75">
      <c r="A248" s="78">
        <v>44645</v>
      </c>
      <c r="B248" s="79" t="s">
        <v>8</v>
      </c>
      <c r="C248" s="80">
        <v>1199</v>
      </c>
      <c r="D248" s="81">
        <v>44646</v>
      </c>
      <c r="E248" s="79" t="s">
        <v>38</v>
      </c>
      <c r="F248" s="80" t="s">
        <v>41</v>
      </c>
      <c r="G248" s="79" t="s">
        <v>14</v>
      </c>
      <c r="H248" s="84"/>
    </row>
    <row r="249" spans="1:8" ht="15.75">
      <c r="A249" s="78">
        <v>44648</v>
      </c>
      <c r="B249" s="79" t="s">
        <v>9</v>
      </c>
      <c r="C249" s="80">
        <v>699.95</v>
      </c>
      <c r="D249" s="81">
        <v>44649</v>
      </c>
      <c r="E249" s="79" t="s">
        <v>40</v>
      </c>
      <c r="F249" s="82" t="s">
        <v>39</v>
      </c>
      <c r="G249" s="79" t="s">
        <v>10</v>
      </c>
      <c r="H249" s="84"/>
    </row>
    <row r="250" spans="1:8" ht="15.75">
      <c r="A250" s="78">
        <v>44649</v>
      </c>
      <c r="B250" s="79" t="s">
        <v>9</v>
      </c>
      <c r="C250" s="82">
        <v>949</v>
      </c>
      <c r="D250" s="81">
        <v>44649</v>
      </c>
      <c r="E250" s="79" t="s">
        <v>40</v>
      </c>
      <c r="F250" s="80" t="s">
        <v>43</v>
      </c>
      <c r="G250" s="79" t="s">
        <v>16</v>
      </c>
      <c r="H250" s="84"/>
    </row>
    <row r="251" spans="1:8" ht="15.75">
      <c r="A251" s="78">
        <v>44653</v>
      </c>
      <c r="B251" s="79" t="s">
        <v>9</v>
      </c>
      <c r="C251" s="82">
        <v>429</v>
      </c>
      <c r="D251" s="81">
        <v>44654</v>
      </c>
      <c r="E251" s="79" t="s">
        <v>38</v>
      </c>
      <c r="F251" s="80" t="s">
        <v>43</v>
      </c>
      <c r="G251" s="79" t="s">
        <v>17</v>
      </c>
      <c r="H251" s="84"/>
    </row>
    <row r="252" spans="1:8" ht="15.75">
      <c r="A252" s="78">
        <v>44656</v>
      </c>
      <c r="B252" s="79" t="s">
        <v>9</v>
      </c>
      <c r="C252" s="82">
        <v>1525</v>
      </c>
      <c r="D252" s="81">
        <v>44657</v>
      </c>
      <c r="E252" s="79" t="s">
        <v>42</v>
      </c>
      <c r="F252" s="82" t="s">
        <v>39</v>
      </c>
      <c r="G252" s="79" t="s">
        <v>10</v>
      </c>
      <c r="H252" s="84"/>
    </row>
    <row r="253" spans="1:8" ht="15.75">
      <c r="A253" s="78">
        <v>44662</v>
      </c>
      <c r="B253" s="79" t="s">
        <v>9</v>
      </c>
      <c r="C253" s="82">
        <v>475</v>
      </c>
      <c r="D253" s="81">
        <v>44664</v>
      </c>
      <c r="E253" s="79" t="s">
        <v>42</v>
      </c>
      <c r="F253" s="80" t="s">
        <v>41</v>
      </c>
      <c r="G253" s="79" t="s">
        <v>16</v>
      </c>
      <c r="H253" s="84"/>
    </row>
    <row r="254" spans="1:8" ht="15.75">
      <c r="A254" s="78">
        <v>44668</v>
      </c>
      <c r="B254" s="79" t="s">
        <v>9</v>
      </c>
      <c r="C254" s="82">
        <v>449</v>
      </c>
      <c r="D254" s="81">
        <v>44669</v>
      </c>
      <c r="E254" s="79" t="s">
        <v>40</v>
      </c>
      <c r="F254" s="82" t="s">
        <v>39</v>
      </c>
      <c r="G254" s="79" t="s">
        <v>10</v>
      </c>
      <c r="H254" s="84"/>
    </row>
    <row r="255" spans="1:8" ht="15.75">
      <c r="A255" s="78">
        <v>44674</v>
      </c>
      <c r="B255" s="79" t="s">
        <v>15</v>
      </c>
      <c r="C255" s="80">
        <v>149.94999999999999</v>
      </c>
      <c r="D255" s="81">
        <v>44675</v>
      </c>
      <c r="E255" s="79" t="s">
        <v>38</v>
      </c>
      <c r="F255" s="80" t="s">
        <v>41</v>
      </c>
      <c r="G255" s="79" t="s">
        <v>11</v>
      </c>
      <c r="H255" s="84"/>
    </row>
    <row r="256" spans="1:8" ht="15.75">
      <c r="A256" s="78">
        <v>44678</v>
      </c>
      <c r="B256" s="79" t="s">
        <v>15</v>
      </c>
      <c r="C256" s="80">
        <v>129.94999999999999</v>
      </c>
      <c r="D256" s="81">
        <v>44679</v>
      </c>
      <c r="E256" s="79" t="s">
        <v>40</v>
      </c>
      <c r="F256" s="80" t="s">
        <v>39</v>
      </c>
      <c r="G256" s="79" t="s">
        <v>10</v>
      </c>
      <c r="H256" s="84"/>
    </row>
    <row r="257" spans="1:8" ht="15.75">
      <c r="A257" s="78">
        <v>44685</v>
      </c>
      <c r="B257" s="79" t="s">
        <v>18</v>
      </c>
      <c r="C257" s="82">
        <v>399</v>
      </c>
      <c r="D257" s="81">
        <v>44687</v>
      </c>
      <c r="E257" s="79" t="s">
        <v>38</v>
      </c>
      <c r="F257" s="80" t="s">
        <v>43</v>
      </c>
      <c r="G257" s="79" t="s">
        <v>13</v>
      </c>
      <c r="H257" s="84"/>
    </row>
    <row r="258" spans="1:8" ht="15.75">
      <c r="A258" s="78">
        <v>44688</v>
      </c>
      <c r="B258" s="79" t="s">
        <v>8</v>
      </c>
      <c r="C258" s="80">
        <v>1799.99</v>
      </c>
      <c r="D258" s="81">
        <v>44688</v>
      </c>
      <c r="E258" s="79" t="s">
        <v>38</v>
      </c>
      <c r="F258" s="80" t="s">
        <v>43</v>
      </c>
      <c r="G258" s="79" t="s">
        <v>44</v>
      </c>
      <c r="H258" s="84"/>
    </row>
    <row r="259" spans="1:8" ht="15.75">
      <c r="A259" s="78">
        <v>44694</v>
      </c>
      <c r="B259" s="79" t="s">
        <v>18</v>
      </c>
      <c r="C259" s="80">
        <v>183.9</v>
      </c>
      <c r="D259" s="81">
        <v>44695</v>
      </c>
      <c r="E259" s="79" t="s">
        <v>40</v>
      </c>
      <c r="F259" s="80" t="s">
        <v>39</v>
      </c>
      <c r="G259" s="79" t="s">
        <v>10</v>
      </c>
      <c r="H259" s="84"/>
    </row>
    <row r="260" spans="1:8" ht="15.75">
      <c r="A260" s="78">
        <v>44696</v>
      </c>
      <c r="B260" s="79" t="s">
        <v>18</v>
      </c>
      <c r="C260" s="82">
        <v>299</v>
      </c>
      <c r="D260" s="81">
        <v>44697</v>
      </c>
      <c r="E260" s="79" t="s">
        <v>42</v>
      </c>
      <c r="F260" s="82" t="s">
        <v>41</v>
      </c>
      <c r="G260" s="79" t="s">
        <v>12</v>
      </c>
      <c r="H260" s="84"/>
    </row>
    <row r="261" spans="1:8" ht="15.75">
      <c r="A261" s="78">
        <v>44698</v>
      </c>
      <c r="B261" s="79" t="s">
        <v>19</v>
      </c>
      <c r="C261" s="82">
        <v>560</v>
      </c>
      <c r="D261" s="81">
        <v>44700</v>
      </c>
      <c r="E261" s="79" t="s">
        <v>40</v>
      </c>
      <c r="F261" s="82" t="s">
        <v>41</v>
      </c>
      <c r="G261" s="79" t="s">
        <v>11</v>
      </c>
      <c r="H261" s="84"/>
    </row>
    <row r="262" spans="1:8" ht="15.75">
      <c r="A262" s="78">
        <v>44700</v>
      </c>
      <c r="B262" s="79" t="s">
        <v>19</v>
      </c>
      <c r="C262" s="82">
        <v>565</v>
      </c>
      <c r="D262" s="81">
        <v>44700</v>
      </c>
      <c r="E262" s="79" t="s">
        <v>38</v>
      </c>
      <c r="F262" s="82" t="s">
        <v>41</v>
      </c>
      <c r="G262" s="79" t="s">
        <v>14</v>
      </c>
      <c r="H262" s="84"/>
    </row>
    <row r="266" spans="1:8" ht="18.75">
      <c r="A266" s="90" t="s">
        <v>3</v>
      </c>
      <c r="B266" s="91" t="s">
        <v>52</v>
      </c>
    </row>
    <row r="267" spans="1:8" ht="15.75">
      <c r="A267" s="92">
        <v>500</v>
      </c>
      <c r="B267" s="93">
        <v>0.01</v>
      </c>
    </row>
    <row r="268" spans="1:8" ht="15.75">
      <c r="A268" s="92">
        <v>1200</v>
      </c>
      <c r="B268" s="93">
        <v>0.03</v>
      </c>
    </row>
    <row r="269" spans="1:8" ht="15.75">
      <c r="A269" s="92">
        <v>1700</v>
      </c>
      <c r="B269" s="93">
        <v>7.0000000000000007E-2</v>
      </c>
    </row>
    <row r="270" spans="1:8" ht="15.75">
      <c r="A270" s="92">
        <v>2800</v>
      </c>
      <c r="B270" s="93">
        <v>0.15</v>
      </c>
    </row>
    <row r="275" spans="1:8" ht="18.75">
      <c r="A275" s="95" t="s">
        <v>55</v>
      </c>
      <c r="B275" s="94"/>
      <c r="C275" s="94"/>
      <c r="D275" s="94"/>
      <c r="E275" s="94"/>
      <c r="F275" s="94"/>
      <c r="G275" s="94"/>
      <c r="H275" s="94"/>
    </row>
    <row r="276" spans="1:8" ht="37.5">
      <c r="A276" s="96" t="s">
        <v>33</v>
      </c>
      <c r="B276" s="97" t="s">
        <v>2</v>
      </c>
      <c r="C276" s="97" t="s">
        <v>3</v>
      </c>
      <c r="D276" s="97" t="s">
        <v>34</v>
      </c>
      <c r="E276" s="97" t="s">
        <v>35</v>
      </c>
      <c r="F276" s="97" t="s">
        <v>36</v>
      </c>
      <c r="G276" s="97" t="s">
        <v>6</v>
      </c>
      <c r="H276" s="103" t="s">
        <v>52</v>
      </c>
    </row>
    <row r="277" spans="1:8" ht="15.75">
      <c r="A277" s="98">
        <v>44621</v>
      </c>
      <c r="B277" s="99" t="s">
        <v>8</v>
      </c>
      <c r="C277" s="100">
        <v>2479.94</v>
      </c>
      <c r="D277" s="101">
        <v>44621</v>
      </c>
      <c r="E277" s="99" t="s">
        <v>38</v>
      </c>
      <c r="F277" s="100" t="s">
        <v>39</v>
      </c>
      <c r="G277" s="99" t="s">
        <v>10</v>
      </c>
      <c r="H277" s="104"/>
    </row>
    <row r="278" spans="1:8" ht="15.75">
      <c r="A278" s="98">
        <v>44635</v>
      </c>
      <c r="B278" s="99" t="s">
        <v>8</v>
      </c>
      <c r="C278" s="100">
        <v>1732.99</v>
      </c>
      <c r="D278" s="101">
        <v>44636</v>
      </c>
      <c r="E278" s="99" t="s">
        <v>40</v>
      </c>
      <c r="F278" s="100" t="s">
        <v>41</v>
      </c>
      <c r="G278" s="99" t="s">
        <v>11</v>
      </c>
      <c r="H278" s="104"/>
    </row>
    <row r="279" spans="1:8" ht="15.75">
      <c r="A279" s="98">
        <v>44637</v>
      </c>
      <c r="B279" s="99" t="s">
        <v>8</v>
      </c>
      <c r="C279" s="100">
        <v>1174.99</v>
      </c>
      <c r="D279" s="101">
        <v>44638</v>
      </c>
      <c r="E279" s="99" t="s">
        <v>38</v>
      </c>
      <c r="F279" s="102" t="s">
        <v>39</v>
      </c>
      <c r="G279" s="99" t="s">
        <v>10</v>
      </c>
      <c r="H279" s="104"/>
    </row>
    <row r="280" spans="1:8" ht="15.75">
      <c r="A280" s="98">
        <v>44639</v>
      </c>
      <c r="B280" s="99" t="s">
        <v>8</v>
      </c>
      <c r="C280" s="100">
        <v>1799.99</v>
      </c>
      <c r="D280" s="101">
        <v>44641</v>
      </c>
      <c r="E280" s="99" t="s">
        <v>40</v>
      </c>
      <c r="F280" s="102" t="s">
        <v>41</v>
      </c>
      <c r="G280" s="99" t="s">
        <v>12</v>
      </c>
      <c r="H280" s="104"/>
    </row>
    <row r="281" spans="1:8" ht="15.75">
      <c r="A281" s="98">
        <v>44642</v>
      </c>
      <c r="B281" s="99" t="s">
        <v>8</v>
      </c>
      <c r="C281" s="100">
        <v>3164.99</v>
      </c>
      <c r="D281" s="101">
        <v>44643</v>
      </c>
      <c r="E281" s="99" t="s">
        <v>42</v>
      </c>
      <c r="F281" s="102" t="s">
        <v>43</v>
      </c>
      <c r="G281" s="99" t="s">
        <v>13</v>
      </c>
      <c r="H281" s="104"/>
    </row>
    <row r="282" spans="1:8" ht="15.75">
      <c r="A282" s="98">
        <v>44645</v>
      </c>
      <c r="B282" s="99" t="s">
        <v>8</v>
      </c>
      <c r="C282" s="100">
        <v>1199</v>
      </c>
      <c r="D282" s="101">
        <v>44646</v>
      </c>
      <c r="E282" s="99" t="s">
        <v>38</v>
      </c>
      <c r="F282" s="100" t="s">
        <v>41</v>
      </c>
      <c r="G282" s="99" t="s">
        <v>14</v>
      </c>
      <c r="H282" s="104"/>
    </row>
    <row r="283" spans="1:8" ht="15.75">
      <c r="A283" s="98">
        <v>44648</v>
      </c>
      <c r="B283" s="99" t="s">
        <v>9</v>
      </c>
      <c r="C283" s="100">
        <v>699.95</v>
      </c>
      <c r="D283" s="101">
        <v>44649</v>
      </c>
      <c r="E283" s="99" t="s">
        <v>40</v>
      </c>
      <c r="F283" s="102" t="s">
        <v>39</v>
      </c>
      <c r="G283" s="99" t="s">
        <v>10</v>
      </c>
      <c r="H283" s="104"/>
    </row>
    <row r="284" spans="1:8" ht="15.75">
      <c r="A284" s="98">
        <v>44649</v>
      </c>
      <c r="B284" s="99" t="s">
        <v>9</v>
      </c>
      <c r="C284" s="102">
        <v>949</v>
      </c>
      <c r="D284" s="101">
        <v>44649</v>
      </c>
      <c r="E284" s="99" t="s">
        <v>40</v>
      </c>
      <c r="F284" s="100" t="s">
        <v>43</v>
      </c>
      <c r="G284" s="99" t="s">
        <v>16</v>
      </c>
      <c r="H284" s="104"/>
    </row>
    <row r="285" spans="1:8" ht="15.75">
      <c r="A285" s="98">
        <v>44653</v>
      </c>
      <c r="B285" s="99" t="s">
        <v>9</v>
      </c>
      <c r="C285" s="102">
        <v>429</v>
      </c>
      <c r="D285" s="101">
        <v>44654</v>
      </c>
      <c r="E285" s="99" t="s">
        <v>38</v>
      </c>
      <c r="F285" s="100" t="s">
        <v>43</v>
      </c>
      <c r="G285" s="99" t="s">
        <v>17</v>
      </c>
      <c r="H285" s="104"/>
    </row>
    <row r="286" spans="1:8" ht="15.75">
      <c r="A286" s="98">
        <v>44656</v>
      </c>
      <c r="B286" s="99" t="s">
        <v>9</v>
      </c>
      <c r="C286" s="102">
        <v>1525</v>
      </c>
      <c r="D286" s="101">
        <v>44657</v>
      </c>
      <c r="E286" s="99" t="s">
        <v>42</v>
      </c>
      <c r="F286" s="102" t="s">
        <v>39</v>
      </c>
      <c r="G286" s="99" t="s">
        <v>10</v>
      </c>
      <c r="H286" s="104"/>
    </row>
    <row r="287" spans="1:8" ht="15.75">
      <c r="A287" s="98">
        <v>44662</v>
      </c>
      <c r="B287" s="99" t="s">
        <v>9</v>
      </c>
      <c r="C287" s="102">
        <v>475</v>
      </c>
      <c r="D287" s="101">
        <v>44664</v>
      </c>
      <c r="E287" s="99" t="s">
        <v>42</v>
      </c>
      <c r="F287" s="100" t="s">
        <v>41</v>
      </c>
      <c r="G287" s="99" t="s">
        <v>16</v>
      </c>
      <c r="H287" s="104"/>
    </row>
    <row r="288" spans="1:8" ht="15.75">
      <c r="A288" s="98">
        <v>44668</v>
      </c>
      <c r="B288" s="99" t="s">
        <v>9</v>
      </c>
      <c r="C288" s="102">
        <v>449</v>
      </c>
      <c r="D288" s="101">
        <v>44669</v>
      </c>
      <c r="E288" s="99" t="s">
        <v>40</v>
      </c>
      <c r="F288" s="102" t="s">
        <v>39</v>
      </c>
      <c r="G288" s="99" t="s">
        <v>10</v>
      </c>
      <c r="H288" s="104"/>
    </row>
    <row r="289" spans="1:8" ht="15.75">
      <c r="A289" s="98">
        <v>44674</v>
      </c>
      <c r="B289" s="99" t="s">
        <v>15</v>
      </c>
      <c r="C289" s="100">
        <v>149.94999999999999</v>
      </c>
      <c r="D289" s="101">
        <v>44675</v>
      </c>
      <c r="E289" s="99" t="s">
        <v>38</v>
      </c>
      <c r="F289" s="100" t="s">
        <v>41</v>
      </c>
      <c r="G289" s="99" t="s">
        <v>11</v>
      </c>
      <c r="H289" s="104"/>
    </row>
    <row r="290" spans="1:8" ht="15.75">
      <c r="A290" s="98">
        <v>44678</v>
      </c>
      <c r="B290" s="99" t="s">
        <v>15</v>
      </c>
      <c r="C290" s="100">
        <v>129.94999999999999</v>
      </c>
      <c r="D290" s="101">
        <v>44679</v>
      </c>
      <c r="E290" s="99" t="s">
        <v>40</v>
      </c>
      <c r="F290" s="100" t="s">
        <v>39</v>
      </c>
      <c r="G290" s="99" t="s">
        <v>10</v>
      </c>
      <c r="H290" s="104"/>
    </row>
    <row r="291" spans="1:8" ht="15.75">
      <c r="A291" s="98">
        <v>44685</v>
      </c>
      <c r="B291" s="99" t="s">
        <v>18</v>
      </c>
      <c r="C291" s="102">
        <v>399</v>
      </c>
      <c r="D291" s="101">
        <v>44687</v>
      </c>
      <c r="E291" s="99" t="s">
        <v>38</v>
      </c>
      <c r="F291" s="100" t="s">
        <v>43</v>
      </c>
      <c r="G291" s="99" t="s">
        <v>13</v>
      </c>
      <c r="H291" s="104"/>
    </row>
    <row r="292" spans="1:8" ht="15.75">
      <c r="A292" s="98">
        <v>44688</v>
      </c>
      <c r="B292" s="99" t="s">
        <v>8</v>
      </c>
      <c r="C292" s="100">
        <v>1799.99</v>
      </c>
      <c r="D292" s="101">
        <v>44688</v>
      </c>
      <c r="E292" s="99" t="s">
        <v>38</v>
      </c>
      <c r="F292" s="100" t="s">
        <v>43</v>
      </c>
      <c r="G292" s="99" t="s">
        <v>44</v>
      </c>
      <c r="H292" s="104"/>
    </row>
    <row r="293" spans="1:8" ht="15.75">
      <c r="A293" s="98">
        <v>44694</v>
      </c>
      <c r="B293" s="99" t="s">
        <v>18</v>
      </c>
      <c r="C293" s="100">
        <v>183.9</v>
      </c>
      <c r="D293" s="101">
        <v>44695</v>
      </c>
      <c r="E293" s="99" t="s">
        <v>40</v>
      </c>
      <c r="F293" s="100" t="s">
        <v>39</v>
      </c>
      <c r="G293" s="99" t="s">
        <v>10</v>
      </c>
      <c r="H293" s="104"/>
    </row>
    <row r="294" spans="1:8" ht="15.75">
      <c r="A294" s="98">
        <v>44696</v>
      </c>
      <c r="B294" s="99" t="s">
        <v>18</v>
      </c>
      <c r="C294" s="102">
        <v>299</v>
      </c>
      <c r="D294" s="101">
        <v>44697</v>
      </c>
      <c r="E294" s="99" t="s">
        <v>42</v>
      </c>
      <c r="F294" s="102" t="s">
        <v>41</v>
      </c>
      <c r="G294" s="99" t="s">
        <v>12</v>
      </c>
      <c r="H294" s="104"/>
    </row>
    <row r="295" spans="1:8" ht="15.75">
      <c r="A295" s="98">
        <v>44698</v>
      </c>
      <c r="B295" s="99" t="s">
        <v>19</v>
      </c>
      <c r="C295" s="102">
        <v>560</v>
      </c>
      <c r="D295" s="101">
        <v>44700</v>
      </c>
      <c r="E295" s="99" t="s">
        <v>40</v>
      </c>
      <c r="F295" s="102" t="s">
        <v>41</v>
      </c>
      <c r="G295" s="99" t="s">
        <v>11</v>
      </c>
      <c r="H295" s="104"/>
    </row>
    <row r="296" spans="1:8" ht="15.75">
      <c r="A296" s="98">
        <v>44700</v>
      </c>
      <c r="B296" s="99" t="s">
        <v>19</v>
      </c>
      <c r="C296" s="102">
        <v>565</v>
      </c>
      <c r="D296" s="101">
        <v>44700</v>
      </c>
      <c r="E296" s="99" t="s">
        <v>38</v>
      </c>
      <c r="F296" s="102" t="s">
        <v>41</v>
      </c>
      <c r="G296" s="99" t="s">
        <v>14</v>
      </c>
      <c r="H296" s="104"/>
    </row>
    <row r="300" spans="1:8" ht="18.75">
      <c r="A300" s="105" t="s">
        <v>3</v>
      </c>
      <c r="B300" s="106" t="s">
        <v>52</v>
      </c>
    </row>
    <row r="301" spans="1:8" ht="15.75">
      <c r="A301" s="107">
        <v>500</v>
      </c>
      <c r="B301" s="108">
        <v>0.01</v>
      </c>
    </row>
    <row r="302" spans="1:8" ht="15.75">
      <c r="A302" s="107">
        <v>1200</v>
      </c>
      <c r="B302" s="108">
        <v>0.03</v>
      </c>
    </row>
    <row r="303" spans="1:8" ht="15.75">
      <c r="A303" s="107">
        <v>1700</v>
      </c>
      <c r="B303" s="108">
        <v>7.0000000000000007E-2</v>
      </c>
    </row>
    <row r="304" spans="1:8" ht="15.75">
      <c r="A304" s="107">
        <v>2800</v>
      </c>
      <c r="B304" s="108">
        <v>0.15</v>
      </c>
    </row>
    <row r="308" spans="1:8" ht="18.75">
      <c r="A308" s="110" t="s">
        <v>56</v>
      </c>
      <c r="B308" s="110"/>
      <c r="C308" s="110"/>
      <c r="D308" s="110"/>
      <c r="E308" s="110"/>
      <c r="F308" s="109"/>
      <c r="G308" s="109"/>
      <c r="H308" s="109"/>
    </row>
    <row r="309" spans="1:8" ht="37.5">
      <c r="A309" s="111" t="s">
        <v>33</v>
      </c>
      <c r="B309" s="112" t="s">
        <v>2</v>
      </c>
      <c r="C309" s="112" t="s">
        <v>3</v>
      </c>
      <c r="D309" s="112" t="s">
        <v>34</v>
      </c>
      <c r="E309" s="112" t="s">
        <v>35</v>
      </c>
      <c r="F309" s="112" t="s">
        <v>36</v>
      </c>
      <c r="G309" s="112" t="s">
        <v>6</v>
      </c>
      <c r="H309" s="118" t="s">
        <v>57</v>
      </c>
    </row>
    <row r="310" spans="1:8" ht="15.75">
      <c r="A310" s="113">
        <v>44621</v>
      </c>
      <c r="B310" s="114" t="s">
        <v>8</v>
      </c>
      <c r="C310" s="115">
        <v>2479.94</v>
      </c>
      <c r="D310" s="116">
        <v>44621</v>
      </c>
      <c r="E310" s="114" t="s">
        <v>38</v>
      </c>
      <c r="F310" s="115" t="s">
        <v>39</v>
      </c>
      <c r="G310" s="114" t="s">
        <v>58</v>
      </c>
      <c r="H310" s="119" t="str">
        <f>IF(AND(C310&gt;2000,OR(A310=D310,B310="laptop")),"yes","no")</f>
        <v>yes</v>
      </c>
    </row>
    <row r="311" spans="1:8" ht="15.75">
      <c r="A311" s="113">
        <v>44635</v>
      </c>
      <c r="B311" s="114" t="s">
        <v>8</v>
      </c>
      <c r="C311" s="115">
        <v>1732.99</v>
      </c>
      <c r="D311" s="116">
        <v>44636</v>
      </c>
      <c r="E311" s="114" t="s">
        <v>40</v>
      </c>
      <c r="F311" s="115" t="s">
        <v>41</v>
      </c>
      <c r="G311" s="114" t="s">
        <v>59</v>
      </c>
      <c r="H311" s="119" t="str">
        <f>IF(AND(C311&gt;2000,OR(A311=D311,B311="laptop")),"yes","no")</f>
        <v>no</v>
      </c>
    </row>
    <row r="312" spans="1:8" ht="15.75">
      <c r="A312" s="113">
        <v>44637</v>
      </c>
      <c r="B312" s="114" t="s">
        <v>8</v>
      </c>
      <c r="C312" s="115">
        <v>1174.99</v>
      </c>
      <c r="D312" s="116">
        <v>44638</v>
      </c>
      <c r="E312" s="114" t="s">
        <v>38</v>
      </c>
      <c r="F312" s="117" t="s">
        <v>39</v>
      </c>
      <c r="G312" s="114" t="s">
        <v>60</v>
      </c>
      <c r="H312" s="119" t="str">
        <f t="shared" ref="H311:H329" si="6">IF(AND(C312&gt;2000,OR(A312=D312,B312="laptop")),"yes","no")</f>
        <v>no</v>
      </c>
    </row>
    <row r="313" spans="1:8" ht="15.75">
      <c r="A313" s="113">
        <v>44639</v>
      </c>
      <c r="B313" s="114" t="s">
        <v>8</v>
      </c>
      <c r="C313" s="115">
        <v>1799.99</v>
      </c>
      <c r="D313" s="116">
        <v>44641</v>
      </c>
      <c r="E313" s="114" t="s">
        <v>40</v>
      </c>
      <c r="F313" s="117" t="s">
        <v>41</v>
      </c>
      <c r="G313" s="114" t="s">
        <v>61</v>
      </c>
      <c r="H313" s="119" t="str">
        <f t="shared" si="6"/>
        <v>no</v>
      </c>
    </row>
    <row r="314" spans="1:8" ht="15.75">
      <c r="A314" s="113">
        <v>44642</v>
      </c>
      <c r="B314" s="114" t="s">
        <v>8</v>
      </c>
      <c r="C314" s="115">
        <v>3164.99</v>
      </c>
      <c r="D314" s="116">
        <v>44643</v>
      </c>
      <c r="E314" s="114" t="s">
        <v>42</v>
      </c>
      <c r="F314" s="117" t="s">
        <v>43</v>
      </c>
      <c r="G314" s="114" t="s">
        <v>62</v>
      </c>
      <c r="H314" s="119" t="str">
        <f>IF(AND(C314&gt;2000,OR(A314=D314,B314="laptop")),"yes","no")</f>
        <v>yes</v>
      </c>
    </row>
    <row r="315" spans="1:8" ht="15.75">
      <c r="A315" s="113">
        <v>44645</v>
      </c>
      <c r="B315" s="114" t="s">
        <v>8</v>
      </c>
      <c r="C315" s="115">
        <v>1199</v>
      </c>
      <c r="D315" s="116">
        <v>44646</v>
      </c>
      <c r="E315" s="114" t="s">
        <v>38</v>
      </c>
      <c r="F315" s="115" t="s">
        <v>41</v>
      </c>
      <c r="G315" s="114" t="s">
        <v>63</v>
      </c>
      <c r="H315" s="119" t="str">
        <f t="shared" si="6"/>
        <v>no</v>
      </c>
    </row>
    <row r="316" spans="1:8" ht="15.75">
      <c r="A316" s="113">
        <v>44648</v>
      </c>
      <c r="B316" s="114" t="s">
        <v>9</v>
      </c>
      <c r="C316" s="115">
        <v>699.95</v>
      </c>
      <c r="D316" s="116">
        <v>44649</v>
      </c>
      <c r="E316" s="114" t="s">
        <v>40</v>
      </c>
      <c r="F316" s="117" t="s">
        <v>39</v>
      </c>
      <c r="G316" s="114" t="s">
        <v>64</v>
      </c>
      <c r="H316" s="119" t="str">
        <f t="shared" si="6"/>
        <v>no</v>
      </c>
    </row>
    <row r="317" spans="1:8" ht="15.75">
      <c r="A317" s="113">
        <v>44649</v>
      </c>
      <c r="B317" s="114" t="s">
        <v>9</v>
      </c>
      <c r="C317" s="117">
        <v>949</v>
      </c>
      <c r="D317" s="116">
        <v>44649</v>
      </c>
      <c r="E317" s="114" t="s">
        <v>40</v>
      </c>
      <c r="F317" s="115" t="s">
        <v>43</v>
      </c>
      <c r="G317" s="114" t="s">
        <v>65</v>
      </c>
      <c r="H317" s="119" t="str">
        <f t="shared" si="6"/>
        <v>no</v>
      </c>
    </row>
    <row r="318" spans="1:8" ht="15.75">
      <c r="A318" s="113">
        <v>44653</v>
      </c>
      <c r="B318" s="114" t="s">
        <v>9</v>
      </c>
      <c r="C318" s="117">
        <v>429</v>
      </c>
      <c r="D318" s="116">
        <v>44654</v>
      </c>
      <c r="E318" s="114" t="s">
        <v>38</v>
      </c>
      <c r="F318" s="115" t="s">
        <v>43</v>
      </c>
      <c r="G318" s="114" t="s">
        <v>66</v>
      </c>
      <c r="H318" s="119" t="str">
        <f t="shared" si="6"/>
        <v>no</v>
      </c>
    </row>
    <row r="319" spans="1:8" ht="15.75">
      <c r="A319" s="113">
        <v>44656</v>
      </c>
      <c r="B319" s="114" t="s">
        <v>9</v>
      </c>
      <c r="C319" s="117">
        <v>1525</v>
      </c>
      <c r="D319" s="116">
        <v>44657</v>
      </c>
      <c r="E319" s="114" t="s">
        <v>42</v>
      </c>
      <c r="F319" s="117" t="s">
        <v>39</v>
      </c>
      <c r="G319" s="114" t="s">
        <v>67</v>
      </c>
      <c r="H319" s="119" t="str">
        <f t="shared" si="6"/>
        <v>no</v>
      </c>
    </row>
    <row r="320" spans="1:8" ht="15.75">
      <c r="A320" s="113">
        <v>44662</v>
      </c>
      <c r="B320" s="114" t="s">
        <v>9</v>
      </c>
      <c r="C320" s="117">
        <v>475</v>
      </c>
      <c r="D320" s="116">
        <v>44664</v>
      </c>
      <c r="E320" s="114" t="s">
        <v>42</v>
      </c>
      <c r="F320" s="115" t="s">
        <v>41</v>
      </c>
      <c r="G320" s="114" t="s">
        <v>68</v>
      </c>
      <c r="H320" s="119" t="str">
        <f t="shared" si="6"/>
        <v>no</v>
      </c>
    </row>
    <row r="321" spans="1:8" ht="15.75">
      <c r="A321" s="113">
        <v>44668</v>
      </c>
      <c r="B321" s="114" t="s">
        <v>9</v>
      </c>
      <c r="C321" s="117">
        <v>449</v>
      </c>
      <c r="D321" s="116">
        <v>44669</v>
      </c>
      <c r="E321" s="114" t="s">
        <v>40</v>
      </c>
      <c r="F321" s="117" t="s">
        <v>39</v>
      </c>
      <c r="G321" s="114" t="s">
        <v>69</v>
      </c>
      <c r="H321" s="119" t="str">
        <f t="shared" si="6"/>
        <v>no</v>
      </c>
    </row>
    <row r="322" spans="1:8" ht="15.75">
      <c r="A322" s="113">
        <v>44674</v>
      </c>
      <c r="B322" s="114" t="s">
        <v>15</v>
      </c>
      <c r="C322" s="115">
        <v>149.94999999999999</v>
      </c>
      <c r="D322" s="116">
        <v>44675</v>
      </c>
      <c r="E322" s="114" t="s">
        <v>38</v>
      </c>
      <c r="F322" s="115" t="s">
        <v>41</v>
      </c>
      <c r="G322" s="114" t="s">
        <v>70</v>
      </c>
      <c r="H322" s="119" t="str">
        <f t="shared" si="6"/>
        <v>no</v>
      </c>
    </row>
    <row r="323" spans="1:8" ht="15.75">
      <c r="A323" s="113">
        <v>44678</v>
      </c>
      <c r="B323" s="114" t="s">
        <v>15</v>
      </c>
      <c r="C323" s="115">
        <v>129.94999999999999</v>
      </c>
      <c r="D323" s="116">
        <v>44679</v>
      </c>
      <c r="E323" s="114" t="s">
        <v>40</v>
      </c>
      <c r="F323" s="115" t="s">
        <v>39</v>
      </c>
      <c r="G323" s="114" t="s">
        <v>71</v>
      </c>
      <c r="H323" s="119" t="str">
        <f t="shared" si="6"/>
        <v>no</v>
      </c>
    </row>
    <row r="324" spans="1:8" ht="15.75">
      <c r="A324" s="113">
        <v>44685</v>
      </c>
      <c r="B324" s="114" t="s">
        <v>18</v>
      </c>
      <c r="C324" s="117">
        <v>399</v>
      </c>
      <c r="D324" s="116">
        <v>44687</v>
      </c>
      <c r="E324" s="114" t="s">
        <v>38</v>
      </c>
      <c r="F324" s="115" t="s">
        <v>43</v>
      </c>
      <c r="G324" s="114" t="s">
        <v>13</v>
      </c>
      <c r="H324" s="119" t="str">
        <f t="shared" si="6"/>
        <v>no</v>
      </c>
    </row>
    <row r="325" spans="1:8" ht="15.75">
      <c r="A325" s="113">
        <v>44688</v>
      </c>
      <c r="B325" s="114" t="s">
        <v>8</v>
      </c>
      <c r="C325" s="115">
        <v>1799.99</v>
      </c>
      <c r="D325" s="116">
        <v>44688</v>
      </c>
      <c r="E325" s="114" t="s">
        <v>38</v>
      </c>
      <c r="F325" s="115" t="s">
        <v>43</v>
      </c>
      <c r="G325" s="114" t="s">
        <v>44</v>
      </c>
      <c r="H325" s="119" t="str">
        <f t="shared" si="6"/>
        <v>no</v>
      </c>
    </row>
    <row r="326" spans="1:8" ht="15.75">
      <c r="A326" s="113">
        <v>44694</v>
      </c>
      <c r="B326" s="114" t="s">
        <v>18</v>
      </c>
      <c r="C326" s="115">
        <v>183.9</v>
      </c>
      <c r="D326" s="116">
        <v>44695</v>
      </c>
      <c r="E326" s="114" t="s">
        <v>40</v>
      </c>
      <c r="F326" s="115" t="s">
        <v>39</v>
      </c>
      <c r="G326" s="114" t="s">
        <v>72</v>
      </c>
      <c r="H326" s="119" t="str">
        <f t="shared" si="6"/>
        <v>no</v>
      </c>
    </row>
    <row r="327" spans="1:8" ht="15.75">
      <c r="A327" s="113">
        <v>44696</v>
      </c>
      <c r="B327" s="114" t="s">
        <v>18</v>
      </c>
      <c r="C327" s="117">
        <v>299</v>
      </c>
      <c r="D327" s="116">
        <v>44697</v>
      </c>
      <c r="E327" s="114" t="s">
        <v>42</v>
      </c>
      <c r="F327" s="117" t="s">
        <v>41</v>
      </c>
      <c r="G327" s="114" t="s">
        <v>73</v>
      </c>
      <c r="H327" s="119" t="str">
        <f t="shared" si="6"/>
        <v>no</v>
      </c>
    </row>
    <row r="328" spans="1:8" ht="15.75">
      <c r="A328" s="113">
        <v>44698</v>
      </c>
      <c r="B328" s="114" t="s">
        <v>19</v>
      </c>
      <c r="C328" s="117">
        <v>560</v>
      </c>
      <c r="D328" s="116">
        <v>44700</v>
      </c>
      <c r="E328" s="114" t="s">
        <v>40</v>
      </c>
      <c r="F328" s="117" t="s">
        <v>41</v>
      </c>
      <c r="G328" s="114" t="s">
        <v>74</v>
      </c>
      <c r="H328" s="119" t="str">
        <f t="shared" si="6"/>
        <v>no</v>
      </c>
    </row>
    <row r="329" spans="1:8" ht="15.75">
      <c r="A329" s="113">
        <v>44700</v>
      </c>
      <c r="B329" s="114" t="s">
        <v>19</v>
      </c>
      <c r="C329" s="117">
        <v>565</v>
      </c>
      <c r="D329" s="116">
        <v>44700</v>
      </c>
      <c r="E329" s="114" t="s">
        <v>38</v>
      </c>
      <c r="F329" s="117" t="s">
        <v>41</v>
      </c>
      <c r="G329" s="114" t="s">
        <v>75</v>
      </c>
      <c r="H329" s="119" t="str">
        <f t="shared" si="6"/>
        <v>no</v>
      </c>
    </row>
    <row r="336" spans="1:8">
      <c r="E336" t="str">
        <f>IF(AND(C310&gt;2000,OR(A310=D310,B310="laptop")),"yes","no")</f>
        <v>yes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Exercise 1-9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2025-08-13T12:15:11Z</dcterms:created>
  <dcterms:modified xsi:type="dcterms:W3CDTF">2025-08-14T11:31:22Z</dcterms:modified>
</cp:coreProperties>
</file>