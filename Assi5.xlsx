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E0DE5F40-4D54-4A8F-8992-B56176777628}" xr6:coauthVersionLast="47" xr6:coauthVersionMax="47" xr10:uidLastSave="{00000000-0000-0000-0000-000000000000}"/>
  <bookViews>
    <workbookView xWindow="-120" yWindow="-120" windowWidth="20730" windowHeight="11160" activeTab="4" xr2:uid="{54C1B225-AF76-42A4-AC68-498E46748BAE}"/>
  </bookViews>
  <sheets>
    <sheet name="Sales Analysis" sheetId="1" r:id="rId1"/>
    <sheet name="HR_Attrition" sheetId="2" r:id="rId2"/>
    <sheet name="Inventory" sheetId="3" r:id="rId3"/>
    <sheet name="Expense_Tracking" sheetId="4" r:id="rId4"/>
    <sheet name="Customer Orders" sheetId="5" r:id="rId5"/>
  </sheets>
  <definedNames>
    <definedName name="Slicer_Delivery_Status">#N/A</definedName>
    <definedName name="Slicer_Product">#N/A</definedName>
    <definedName name="Slicer_Product1">#N/A</definedName>
    <definedName name="Slicer_Region">#N/A</definedName>
    <definedName name="Slicer_Warehouse">#N/A</definedName>
  </definedNames>
  <calcPr calcId="191029"/>
  <pivotCaches>
    <pivotCache cacheId="4" r:id="rId6"/>
    <pivotCache cacheId="5" r:id="rId7"/>
    <pivotCache cacheId="6" r:id="rId8"/>
    <pivotCache cacheId="10" r:id="rId9"/>
    <pivotCache cacheId="18"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0" i="4" l="1"/>
  <c r="E59" i="4"/>
  <c r="E58" i="4"/>
</calcChain>
</file>

<file path=xl/sharedStrings.xml><?xml version="1.0" encoding="utf-8"?>
<sst xmlns="http://schemas.openxmlformats.org/spreadsheetml/2006/main" count="856" uniqueCount="251">
  <si>
    <t>Date</t>
  </si>
  <si>
    <t>Region</t>
  </si>
  <si>
    <t>Salesperson</t>
  </si>
  <si>
    <t>Product</t>
  </si>
  <si>
    <t>Units Sold</t>
  </si>
  <si>
    <t>Unit Price</t>
  </si>
  <si>
    <t>Revenue</t>
  </si>
  <si>
    <t>Profit</t>
  </si>
  <si>
    <t>West</t>
  </si>
  <si>
    <t>Bob</t>
  </si>
  <si>
    <t>Tablet</t>
  </si>
  <si>
    <t>Alice</t>
  </si>
  <si>
    <t>South</t>
  </si>
  <si>
    <t>Eva</t>
  </si>
  <si>
    <t>Phone</t>
  </si>
  <si>
    <t>North</t>
  </si>
  <si>
    <t>David</t>
  </si>
  <si>
    <t>Keyboard</t>
  </si>
  <si>
    <t>Laptop</t>
  </si>
  <si>
    <t>East</t>
  </si>
  <si>
    <t>Charlie</t>
  </si>
  <si>
    <t>Monitor</t>
  </si>
  <si>
    <t>Employee ID</t>
  </si>
  <si>
    <t>Department</t>
  </si>
  <si>
    <t>Gender</t>
  </si>
  <si>
    <t>Age</t>
  </si>
  <si>
    <t>Join Date</t>
  </si>
  <si>
    <t>Exit Date</t>
  </si>
  <si>
    <t>Status</t>
  </si>
  <si>
    <t>Salary</t>
  </si>
  <si>
    <t>E1000</t>
  </si>
  <si>
    <t>HR</t>
  </si>
  <si>
    <t>Female</t>
  </si>
  <si>
    <t>Resigned</t>
  </si>
  <si>
    <t>E1001</t>
  </si>
  <si>
    <t>IT</t>
  </si>
  <si>
    <t>E1002</t>
  </si>
  <si>
    <t>Male</t>
  </si>
  <si>
    <t>Active</t>
  </si>
  <si>
    <t>E1003</t>
  </si>
  <si>
    <t>E1004</t>
  </si>
  <si>
    <t>E1005</t>
  </si>
  <si>
    <t>E1006</t>
  </si>
  <si>
    <t>Finance</t>
  </si>
  <si>
    <t>E1007</t>
  </si>
  <si>
    <t>E1008</t>
  </si>
  <si>
    <t>Sales</t>
  </si>
  <si>
    <t>E1009</t>
  </si>
  <si>
    <t>E1010</t>
  </si>
  <si>
    <t>Support</t>
  </si>
  <si>
    <t>E1011</t>
  </si>
  <si>
    <t>E1012</t>
  </si>
  <si>
    <t>E1013</t>
  </si>
  <si>
    <t>E1014</t>
  </si>
  <si>
    <t>E1015</t>
  </si>
  <si>
    <t>E1016</t>
  </si>
  <si>
    <t>E1017</t>
  </si>
  <si>
    <t>E1018</t>
  </si>
  <si>
    <t>E1019</t>
  </si>
  <si>
    <t>E1020</t>
  </si>
  <si>
    <t>E1021</t>
  </si>
  <si>
    <t>E1022</t>
  </si>
  <si>
    <t>E1023</t>
  </si>
  <si>
    <t>E1024</t>
  </si>
  <si>
    <t>E1025</t>
  </si>
  <si>
    <t>E1026</t>
  </si>
  <si>
    <t>E1027</t>
  </si>
  <si>
    <t>E1028</t>
  </si>
  <si>
    <t>E1029</t>
  </si>
  <si>
    <t>Product ID</t>
  </si>
  <si>
    <t>Product Category</t>
  </si>
  <si>
    <t>Warehouse</t>
  </si>
  <si>
    <t>Opening Stock</t>
  </si>
  <si>
    <t>Quantity Sold</t>
  </si>
  <si>
    <t>Quantity Purchased</t>
  </si>
  <si>
    <t>Closing Stock</t>
  </si>
  <si>
    <t>P100</t>
  </si>
  <si>
    <t>Electronics</t>
  </si>
  <si>
    <t>W1</t>
  </si>
  <si>
    <t>P101</t>
  </si>
  <si>
    <t>Furniture</t>
  </si>
  <si>
    <t>W2</t>
  </si>
  <si>
    <t>P102</t>
  </si>
  <si>
    <t>P103</t>
  </si>
  <si>
    <t>W3</t>
  </si>
  <si>
    <t>P104</t>
  </si>
  <si>
    <t>Stationery</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</si>
  <si>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</si>
  <si>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</si>
  <si>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</si>
  <si>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</si>
  <si>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</si>
  <si>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</si>
  <si>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</si>
  <si>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</si>
  <si>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</si>
  <si>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</si>
  <si>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</si>
  <si>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</si>
  <si>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</si>
  <si>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</si>
  <si>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</si>
  <si>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</si>
  <si>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</si>
  <si>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</si>
  <si>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</si>
  <si>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</si>
  <si>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</si>
  <si>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</si>
  <si>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</si>
  <si>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</si>
  <si>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</si>
  <si>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Expense Category</t>
  </si>
  <si>
    <t>Expense Amount</t>
  </si>
  <si>
    <t>Budget</t>
  </si>
  <si>
    <t>Project Name</t>
  </si>
  <si>
    <t>Consulting</t>
  </si>
  <si>
    <t>Delta</t>
  </si>
  <si>
    <t>Admin</t>
  </si>
  <si>
    <t>Travel</t>
  </si>
  <si>
    <t>Alpha</t>
  </si>
  <si>
    <t>Operations</t>
  </si>
  <si>
    <t>Supplies</t>
  </si>
  <si>
    <t>Gamma</t>
  </si>
  <si>
    <t>Software</t>
  </si>
  <si>
    <t>Beta</t>
  </si>
  <si>
    <t>Marketing</t>
  </si>
  <si>
    <t>Order ID</t>
  </si>
  <si>
    <t>Customer Name</t>
  </si>
  <si>
    <t>Order Date</t>
  </si>
  <si>
    <t>Delivery Date</t>
  </si>
  <si>
    <t>Order Value</t>
  </si>
  <si>
    <t>Delivery Status</t>
  </si>
  <si>
    <t>Delivery Duration (Days)</t>
  </si>
  <si>
    <t>O1000</t>
  </si>
  <si>
    <t>Adani</t>
  </si>
  <si>
    <t>Switch</t>
  </si>
  <si>
    <t>On Time</t>
  </si>
  <si>
    <t>O1001</t>
  </si>
  <si>
    <t>Access Point</t>
  </si>
  <si>
    <t>O1002</t>
  </si>
  <si>
    <t>Tata</t>
  </si>
  <si>
    <t>O1003</t>
  </si>
  <si>
    <t>HUL</t>
  </si>
  <si>
    <t>Router</t>
  </si>
  <si>
    <t>O1004</t>
  </si>
  <si>
    <t>Delayed</t>
  </si>
  <si>
    <t>O1005</t>
  </si>
  <si>
    <t>Reliance</t>
  </si>
  <si>
    <t>Modem</t>
  </si>
  <si>
    <t>O1006</t>
  </si>
  <si>
    <t>O1007</t>
  </si>
  <si>
    <t>O1008</t>
  </si>
  <si>
    <t>O1009</t>
  </si>
  <si>
    <t>O1010</t>
  </si>
  <si>
    <t>O1011</t>
  </si>
  <si>
    <t>O1012</t>
  </si>
  <si>
    <t>O1013</t>
  </si>
  <si>
    <t>O1014</t>
  </si>
  <si>
    <t>Flipkart</t>
  </si>
  <si>
    <t>O1015</t>
  </si>
  <si>
    <t>O1016</t>
  </si>
  <si>
    <t>O1017</t>
  </si>
  <si>
    <t>O1018</t>
  </si>
  <si>
    <t>O1019</t>
  </si>
  <si>
    <t>O1020</t>
  </si>
  <si>
    <t>O1021</t>
  </si>
  <si>
    <t>O1022</t>
  </si>
  <si>
    <t>O1023</t>
  </si>
  <si>
    <t>O1024</t>
  </si>
  <si>
    <t>O1025</t>
  </si>
  <si>
    <t>O1026</t>
  </si>
  <si>
    <t>O1027</t>
  </si>
  <si>
    <t>O1028</t>
  </si>
  <si>
    <t>O1029</t>
  </si>
  <si>
    <t>Row Labels</t>
  </si>
  <si>
    <t>Grand Total</t>
  </si>
  <si>
    <t>Sum of Revenue</t>
  </si>
  <si>
    <t>Sum of Profit</t>
  </si>
  <si>
    <t>Sum of Units Sold</t>
  </si>
  <si>
    <t>Jan</t>
  </si>
  <si>
    <t>Feb</t>
  </si>
  <si>
    <t>Mar</t>
  </si>
  <si>
    <t>Apr</t>
  </si>
  <si>
    <t>May</t>
  </si>
  <si>
    <t>Jun</t>
  </si>
  <si>
    <t>Jul</t>
  </si>
  <si>
    <t>Aug</t>
  </si>
  <si>
    <t>Sep</t>
  </si>
  <si>
    <t>Oct</t>
  </si>
  <si>
    <t>Nov</t>
  </si>
  <si>
    <t>Dec</t>
  </si>
  <si>
    <t>////Top 5 prod by rev.</t>
  </si>
  <si>
    <t>///top sales per by rev</t>
  </si>
  <si>
    <t>//monthly sales trend</t>
  </si>
  <si>
    <t>rev &amp; profit by sales person</t>
  </si>
  <si>
    <t>//tot reve by region</t>
  </si>
  <si>
    <t>Column Labels</t>
  </si>
  <si>
    <t>Count of Employee ID</t>
  </si>
  <si>
    <t>Sum of Salary</t>
  </si>
  <si>
    <t>Average of Age</t>
  </si>
  <si>
    <t>(blank)</t>
  </si>
  <si>
    <t>2021</t>
  </si>
  <si>
    <t>2022</t>
  </si>
  <si>
    <t>2023</t>
  </si>
  <si>
    <t>2024</t>
  </si>
  <si>
    <t>2025</t>
  </si>
  <si>
    <t>2026</t>
  </si>
  <si>
    <t>Count of Exit Date</t>
  </si>
  <si>
    <t>Sum of Quantity Sold</t>
  </si>
  <si>
    <t>Sum of Quantity Purchased</t>
  </si>
  <si>
    <t>Sum of Closing Stock</t>
  </si>
  <si>
    <t>11-01-23 - 17-01-23</t>
  </si>
  <si>
    <t>18-01-23 - 24-01-23</t>
  </si>
  <si>
    <t>15-02-23 - 21-02-23</t>
  </si>
  <si>
    <t>22-02-23 - 28-02-23</t>
  </si>
  <si>
    <t>01-03-23 - 07-03-23</t>
  </si>
  <si>
    <t>15-03-23 - 21-03-23</t>
  </si>
  <si>
    <t>05-04-23 - 11-04-23</t>
  </si>
  <si>
    <t>19-04-23 - 25-04-23</t>
  </si>
  <si>
    <t>03-05-23 - 09-05-23</t>
  </si>
  <si>
    <t>14-06-23 - 20-06-23</t>
  </si>
  <si>
    <t>21-06-23 - 27-06-23</t>
  </si>
  <si>
    <t>12-07-23 - 18-07-23</t>
  </si>
  <si>
    <t>09-08-23 - 15-08-23</t>
  </si>
  <si>
    <t>16-08-23 - 22-08-23</t>
  </si>
  <si>
    <t>23-08-23 - 29-08-23</t>
  </si>
  <si>
    <t>20-09-23 - 26-09-23</t>
  </si>
  <si>
    <t>11-10-23 - 17-10-23</t>
  </si>
  <si>
    <t>25-10-23 - 31-10-23</t>
  </si>
  <si>
    <t>15-11-23 - 21-11-23</t>
  </si>
  <si>
    <t>29-11-23 - 05-12-23</t>
  </si>
  <si>
    <t>06-12-23 - 12-12-23</t>
  </si>
  <si>
    <t>13-12-23 - 19-12-23</t>
  </si>
  <si>
    <t>20-12-23 - 26-12-23</t>
  </si>
  <si>
    <t>Sum of Stock Movement</t>
  </si>
  <si>
    <t>i)click on pivot table analyze ,(ii) click on calculated field</t>
  </si>
  <si>
    <t>iii)give name stock movement</t>
  </si>
  <si>
    <t>iv)enter formula 'quantity purchased-quantity sold</t>
  </si>
  <si>
    <t>Sum of Opening Stock</t>
  </si>
  <si>
    <t>Sum of Budget</t>
  </si>
  <si>
    <t>Sum of Expense Amount</t>
  </si>
  <si>
    <t>KPI Cards</t>
  </si>
  <si>
    <t>//sum of budeget</t>
  </si>
  <si>
    <t>//tot.expense</t>
  </si>
  <si>
    <t>//(tot.exp./sum of budg)-1</t>
  </si>
  <si>
    <t>Count of Delivery Status</t>
  </si>
  <si>
    <t>Count of Order ID</t>
  </si>
  <si>
    <t>Average of Delivery Duration (Days)</t>
  </si>
  <si>
    <t>Sum of Order Value</t>
  </si>
  <si>
    <t>Count of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</si>
</sst>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7">
    <xf numFmtId="0" fontId="0" fillId="0" borderId="0" xfId="0"/>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xf numFmtId="164" fontId="0" fillId="0" borderId="0" xfId="0" applyNumberFormat="1"/>
    <xf numFmtId="0" fontId="0" fillId="0" borderId="0" xfId="0"/>
    <xf numFmtId="164" fontId="0" fillId="0" borderId="0" xfId="0" applyNumberFormat="1"/>
    <xf numFmtId="0" fontId="0" fillId="0" borderId="0" xfId="0"/>
    <xf numFmtId="164" fontId="0" fillId="0" borderId="0" xfId="0" applyNumberFormat="1"/>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applyAlignment="1">
      <alignment horizontal="left"/>
    </xf>
  </cellXfs>
  <cellStyles count="1">
    <cellStyle name="Normal" xfId="0" builtinId="0"/>
  </cellStyles>
  <dxfs count="22">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64" formatCode="yyyy\-mm\-dd\ hh:mm:ss"/>
    </dxf>
    <dxf>
      <border outline="0">
        <bottom style="thin">
          <color auto="1"/>
        </bottom>
      </border>
    </dxf>
    <dxf>
      <border outline="0">
        <top style="thin">
          <color auto="1"/>
        </top>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[Assi5.xlsx]Sales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Analysis'!$B$36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Analysis'!$A$37:$A$41</c:f>
              <c:strCache>
                <c:ptCount val="4"/>
                <c:pt idx="0">
                  <c:v>East</c:v>
                </c:pt>
                <c:pt idx="1">
                  <c:v>North</c:v>
                </c:pt>
                <c:pt idx="2">
                  <c:v>South</c:v>
                </c:pt>
                <c:pt idx="3">
                  <c:v>West</c:v>
                </c:pt>
              </c:strCache>
            </c:strRef>
          </c:cat>
          <c:val>
            <c:numRef>
              <c:f>'Sales Analysis'!$B$37:$B$41</c:f>
              <c:numCache>
                <c:formatCode>General</c:formatCode>
                <c:ptCount val="4"/>
                <c:pt idx="0">
                  <c:v>45230</c:v>
                </c:pt>
                <c:pt idx="1">
                  <c:v>55780</c:v>
                </c:pt>
                <c:pt idx="2">
                  <c:v>90109</c:v>
                </c:pt>
                <c:pt idx="3">
                  <c:v>30719</c:v>
                </c:pt>
              </c:numCache>
            </c:numRef>
          </c:val>
          <c:extLst>
            <c:ext xmlns:c16="http://schemas.microsoft.com/office/drawing/2014/chart" uri="{C3380CC4-5D6E-409C-BE32-E72D297353CC}">
              <c16:uniqueId val="{00000000-85B5-40FF-A0FB-0CDF0F2922DE}"/>
            </c:ext>
          </c:extLst>
        </c:ser>
        <c:dLbls>
          <c:dLblPos val="outEnd"/>
          <c:showLegendKey val="0"/>
          <c:showVal val="1"/>
          <c:showCatName val="0"/>
          <c:showSerName val="0"/>
          <c:showPercent val="0"/>
          <c:showBubbleSize val="0"/>
        </c:dLbls>
        <c:gapWidth val="182"/>
        <c:axId val="983226160"/>
        <c:axId val="983228240"/>
      </c:barChart>
      <c:catAx>
        <c:axId val="98322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28240"/>
        <c:crosses val="autoZero"/>
        <c:auto val="1"/>
        <c:lblAlgn val="ctr"/>
        <c:lblOffset val="100"/>
        <c:noMultiLvlLbl val="0"/>
      </c:catAx>
      <c:valAx>
        <c:axId val="983228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2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[Assi5.xlsx]Sales Analysis!PivotTable3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Analysis'!$B$45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Analysis'!$B$46:$B$58</c:f>
              <c:numCache>
                <c:formatCode>General</c:formatCode>
                <c:ptCount val="12"/>
                <c:pt idx="0">
                  <c:v>14</c:v>
                </c:pt>
                <c:pt idx="1">
                  <c:v>46</c:v>
                </c:pt>
                <c:pt idx="2">
                  <c:v>29</c:v>
                </c:pt>
                <c:pt idx="3">
                  <c:v>63</c:v>
                </c:pt>
                <c:pt idx="4">
                  <c:v>4</c:v>
                </c:pt>
                <c:pt idx="5">
                  <c:v>4</c:v>
                </c:pt>
                <c:pt idx="6">
                  <c:v>31</c:v>
                </c:pt>
                <c:pt idx="7">
                  <c:v>46</c:v>
                </c:pt>
                <c:pt idx="8">
                  <c:v>43</c:v>
                </c:pt>
                <c:pt idx="9">
                  <c:v>10</c:v>
                </c:pt>
                <c:pt idx="10">
                  <c:v>36</c:v>
                </c:pt>
                <c:pt idx="11">
                  <c:v>29</c:v>
                </c:pt>
              </c:numCache>
            </c:numRef>
          </c:val>
          <c:smooth val="0"/>
          <c:extLst>
            <c:ext xmlns:c16="http://schemas.microsoft.com/office/drawing/2014/chart" uri="{C3380CC4-5D6E-409C-BE32-E72D297353CC}">
              <c16:uniqueId val="{00000000-990C-4116-AF46-19879074C734}"/>
            </c:ext>
          </c:extLst>
        </c:ser>
        <c:dLbls>
          <c:dLblPos val="t"/>
          <c:showLegendKey val="0"/>
          <c:showVal val="1"/>
          <c:showCatName val="0"/>
          <c:showSerName val="0"/>
          <c:showPercent val="0"/>
          <c:showBubbleSize val="0"/>
        </c:dLbls>
        <c:marker val="1"/>
        <c:smooth val="0"/>
        <c:axId val="984732880"/>
        <c:axId val="984744944"/>
      </c:lineChart>
      <c:catAx>
        <c:axId val="9847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44944"/>
        <c:crosses val="autoZero"/>
        <c:auto val="1"/>
        <c:lblAlgn val="ctr"/>
        <c:lblOffset val="100"/>
        <c:noMultiLvlLbl val="0"/>
      </c:catAx>
      <c:valAx>
        <c:axId val="98474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73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[Assi5.xlsx]HR_Attrition!PivotTable6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Donut</a:t>
            </a:r>
            <a:r>
              <a:rPr lang="en-US" baseline="0"/>
              <a:t> chart for Gender Split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HR_Attrition!$B$64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CF-47C5-A6C6-AE65C1A464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CF-47C5-A6C6-AE65C1A46450}"/>
              </c:ext>
            </c:extLst>
          </c:dPt>
          <c:cat>
            <c:strRef>
              <c:f>HR_Attrition!$A$65:$A$67</c:f>
              <c:strCache>
                <c:ptCount val="2"/>
                <c:pt idx="0">
                  <c:v>Female</c:v>
                </c:pt>
                <c:pt idx="1">
                  <c:v>Male</c:v>
                </c:pt>
              </c:strCache>
            </c:strRef>
          </c:cat>
          <c:val>
            <c:numRef>
              <c:f>HR_Attrition!$B$65:$B$67</c:f>
              <c:numCache>
                <c:formatCode>General</c:formatCode>
                <c:ptCount val="2"/>
                <c:pt idx="0">
                  <c:v>13</c:v>
                </c:pt>
                <c:pt idx="1">
                  <c:v>17</c:v>
                </c:pt>
              </c:numCache>
            </c:numRef>
          </c:val>
          <c:extLst>
            <c:ext xmlns:c16="http://schemas.microsoft.com/office/drawing/2014/chart" uri="{C3380CC4-5D6E-409C-BE32-E72D297353CC}">
              <c16:uniqueId val="{00000000-FE73-4163-BD77-4794BE9973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[Assi5.xlsx]HR_Attrition!PivotTable5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Column</a:t>
            </a:r>
            <a:r>
              <a:rPr lang="en-US" baseline="0"/>
              <a:t> Chart for Attrition by Department</a:t>
            </a:r>
            <a:endParaRPr lang="en-US"/>
          </a:p>
        </c:rich>
      </c:tx>
      <c:layout>
        <c:manualLayout>
          <c:xMode val="edge"/>
          <c:yMode val="edge"/>
          <c:x val="0.18968999297623007"/>
          <c:y val="2.7118644067796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80927384076994E-2"/>
          <c:y val="0.13786818314377369"/>
          <c:w val="0.77594685039370082"/>
          <c:h val="0.65853091280256637"/>
        </c:manualLayout>
      </c:layout>
      <c:barChart>
        <c:barDir val="col"/>
        <c:grouping val="clustered"/>
        <c:varyColors val="0"/>
        <c:ser>
          <c:idx val="0"/>
          <c:order val="0"/>
          <c:tx>
            <c:strRef>
              <c:f>HR_Attrition!$E$35:$E$36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HR_Attrition!$D$37:$D$42</c:f>
              <c:strCache>
                <c:ptCount val="5"/>
                <c:pt idx="0">
                  <c:v>Finance</c:v>
                </c:pt>
                <c:pt idx="1">
                  <c:v>HR</c:v>
                </c:pt>
                <c:pt idx="2">
                  <c:v>IT</c:v>
                </c:pt>
                <c:pt idx="3">
                  <c:v>Sales</c:v>
                </c:pt>
                <c:pt idx="4">
                  <c:v>Support</c:v>
                </c:pt>
              </c:strCache>
            </c:strRef>
          </c:cat>
          <c:val>
            <c:numRef>
              <c:f>HR_Attrition!$E$37:$E$42</c:f>
              <c:numCache>
                <c:formatCode>General</c:formatCode>
                <c:ptCount val="5"/>
                <c:pt idx="0">
                  <c:v>2</c:v>
                </c:pt>
                <c:pt idx="1">
                  <c:v>1</c:v>
                </c:pt>
                <c:pt idx="2">
                  <c:v>2</c:v>
                </c:pt>
                <c:pt idx="3">
                  <c:v>1</c:v>
                </c:pt>
                <c:pt idx="4">
                  <c:v>3</c:v>
                </c:pt>
              </c:numCache>
            </c:numRef>
          </c:val>
          <c:extLst>
            <c:ext xmlns:c16="http://schemas.microsoft.com/office/drawing/2014/chart" uri="{C3380CC4-5D6E-409C-BE32-E72D297353CC}">
              <c16:uniqueId val="{00000000-372C-42D4-ACE0-4CED26762EE3}"/>
            </c:ext>
          </c:extLst>
        </c:ser>
        <c:ser>
          <c:idx val="1"/>
          <c:order val="1"/>
          <c:tx>
            <c:strRef>
              <c:f>HR_Attrition!$F$35:$F$36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HR_Attrition!$D$37:$D$42</c:f>
              <c:strCache>
                <c:ptCount val="5"/>
                <c:pt idx="0">
                  <c:v>Finance</c:v>
                </c:pt>
                <c:pt idx="1">
                  <c:v>HR</c:v>
                </c:pt>
                <c:pt idx="2">
                  <c:v>IT</c:v>
                </c:pt>
                <c:pt idx="3">
                  <c:v>Sales</c:v>
                </c:pt>
                <c:pt idx="4">
                  <c:v>Support</c:v>
                </c:pt>
              </c:strCache>
            </c:strRef>
          </c:cat>
          <c:val>
            <c:numRef>
              <c:f>HR_Attrition!$F$37:$F$42</c:f>
              <c:numCache>
                <c:formatCode>General</c:formatCode>
                <c:ptCount val="5"/>
                <c:pt idx="0">
                  <c:v>6</c:v>
                </c:pt>
                <c:pt idx="1">
                  <c:v>1</c:v>
                </c:pt>
                <c:pt idx="3">
                  <c:v>3</c:v>
                </c:pt>
                <c:pt idx="4">
                  <c:v>1</c:v>
                </c:pt>
              </c:numCache>
            </c:numRef>
          </c:val>
          <c:extLst>
            <c:ext xmlns:c16="http://schemas.microsoft.com/office/drawing/2014/chart" uri="{C3380CC4-5D6E-409C-BE32-E72D297353CC}">
              <c16:uniqueId val="{00000001-372C-42D4-ACE0-4CED26762EE3}"/>
            </c:ext>
          </c:extLst>
        </c:ser>
        <c:dLbls>
          <c:dLblPos val="outEnd"/>
          <c:showLegendKey val="0"/>
          <c:showVal val="1"/>
          <c:showCatName val="0"/>
          <c:showSerName val="0"/>
          <c:showPercent val="0"/>
          <c:showBubbleSize val="0"/>
        </c:dLbls>
        <c:gapWidth val="219"/>
        <c:overlap val="-27"/>
        <c:axId val="32666704"/>
        <c:axId val="32667120"/>
      </c:barChart>
      <c:catAx>
        <c:axId val="3266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7120"/>
        <c:crosses val="autoZero"/>
        <c:auto val="1"/>
        <c:lblAlgn val="ctr"/>
        <c:lblOffset val="100"/>
        <c:noMultiLvlLbl val="0"/>
      </c:catAx>
      <c:valAx>
        <c:axId val="3266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[Assi5.xlsx]Inventory!PivotTable5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Stacked</a:t>
            </a:r>
            <a:r>
              <a:rPr lang="en-US" baseline="0"/>
              <a:t> Bar Opening Stock vs Closing Stock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Inventory!$E$67</c:f>
              <c:strCache>
                <c:ptCount val="1"/>
                <c:pt idx="0">
                  <c:v>Sum of Opening Stock</c:v>
                </c:pt>
              </c:strCache>
            </c:strRef>
          </c:tx>
          <c:spPr>
            <a:solidFill>
              <a:schemeClr val="accent1"/>
            </a:solidFill>
            <a:ln>
              <a:noFill/>
            </a:ln>
            <a:effectLst/>
          </c:spPr>
          <c:invertIfNegative val="0"/>
          <c:cat>
            <c:strRef>
              <c:f>Inventory!$E$68</c:f>
              <c:strCache>
                <c:ptCount val="1"/>
                <c:pt idx="0">
                  <c:v>Total</c:v>
                </c:pt>
              </c:strCache>
            </c:strRef>
          </c:cat>
          <c:val>
            <c:numRef>
              <c:f>Inventory!$E$68</c:f>
              <c:numCache>
                <c:formatCode>General</c:formatCode>
                <c:ptCount val="1"/>
                <c:pt idx="0">
                  <c:v>3734</c:v>
                </c:pt>
              </c:numCache>
            </c:numRef>
          </c:val>
          <c:extLst>
            <c:ext xmlns:c16="http://schemas.microsoft.com/office/drawing/2014/chart" uri="{C3380CC4-5D6E-409C-BE32-E72D297353CC}">
              <c16:uniqueId val="{00000000-4296-4F0D-BD48-C5C9DAD84A62}"/>
            </c:ext>
          </c:extLst>
        </c:ser>
        <c:ser>
          <c:idx val="1"/>
          <c:order val="1"/>
          <c:tx>
            <c:strRef>
              <c:f>Inventory!$F$67</c:f>
              <c:strCache>
                <c:ptCount val="1"/>
                <c:pt idx="0">
                  <c:v>Sum of Closing Stock</c:v>
                </c:pt>
              </c:strCache>
            </c:strRef>
          </c:tx>
          <c:spPr>
            <a:solidFill>
              <a:schemeClr val="accent2"/>
            </a:solidFill>
            <a:ln>
              <a:noFill/>
            </a:ln>
            <a:effectLst/>
          </c:spPr>
          <c:invertIfNegative val="0"/>
          <c:cat>
            <c:strRef>
              <c:f>Inventory!$E$68</c:f>
              <c:strCache>
                <c:ptCount val="1"/>
                <c:pt idx="0">
                  <c:v>Total</c:v>
                </c:pt>
              </c:strCache>
            </c:strRef>
          </c:cat>
          <c:val>
            <c:numRef>
              <c:f>Inventory!$F$68</c:f>
              <c:numCache>
                <c:formatCode>General</c:formatCode>
                <c:ptCount val="1"/>
                <c:pt idx="0">
                  <c:v>3809</c:v>
                </c:pt>
              </c:numCache>
            </c:numRef>
          </c:val>
          <c:extLst>
            <c:ext xmlns:c16="http://schemas.microsoft.com/office/drawing/2014/chart" uri="{C3380CC4-5D6E-409C-BE32-E72D297353CC}">
              <c16:uniqueId val="{00000001-4296-4F0D-BD48-C5C9DAD84A62}"/>
            </c:ext>
          </c:extLst>
        </c:ser>
        <c:dLbls>
          <c:showLegendKey val="0"/>
          <c:showVal val="0"/>
          <c:showCatName val="0"/>
          <c:showSerName val="0"/>
          <c:showPercent val="0"/>
          <c:showBubbleSize val="0"/>
        </c:dLbls>
        <c:gapWidth val="150"/>
        <c:overlap val="100"/>
        <c:axId val="692889807"/>
        <c:axId val="692889391"/>
      </c:barChart>
      <c:catAx>
        <c:axId val="69288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89391"/>
        <c:crosses val="autoZero"/>
        <c:auto val="1"/>
        <c:lblAlgn val="ctr"/>
        <c:lblOffset val="100"/>
        <c:noMultiLvlLbl val="0"/>
      </c:catAx>
      <c:valAx>
        <c:axId val="69288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88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[Assi5.xlsx]Inventory!PivotTable2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Line</a:t>
            </a:r>
            <a:r>
              <a:rPr lang="en-US" baseline="0"/>
              <a:t> Chart for weekly produ.Movement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Inventory!$B$44</c:f>
              <c:strCache>
                <c:ptCount val="1"/>
                <c:pt idx="0">
                  <c:v>Sum of Quantity Purchased</c:v>
                </c:pt>
              </c:strCache>
            </c:strRef>
          </c:tx>
          <c:spPr>
            <a:ln w="28575" cap="rnd">
              <a:solidFill>
                <a:schemeClr val="accent1"/>
              </a:solidFill>
              <a:round/>
            </a:ln>
            <a:effectLst/>
          </c:spPr>
          <c:marker>
            <c:symbol val="none"/>
          </c:marker>
          <c:cat>
            <c:strRef>
              <c:f>Inventory!$A$45:$A$68</c:f>
              <c:strCache>
                <c:ptCount val="23"/>
                <c:pt idx="0">
                  <c:v>11-01-23 - 17-01-23</c:v>
                </c:pt>
                <c:pt idx="1">
                  <c:v>18-01-23 - 24-01-23</c:v>
                </c:pt>
                <c:pt idx="2">
                  <c:v>15-02-23 - 21-02-23</c:v>
                </c:pt>
                <c:pt idx="3">
                  <c:v>22-02-23 - 28-02-23</c:v>
                </c:pt>
                <c:pt idx="4">
                  <c:v>01-03-23 - 07-03-23</c:v>
                </c:pt>
                <c:pt idx="5">
                  <c:v>15-03-23 - 21-03-23</c:v>
                </c:pt>
                <c:pt idx="6">
                  <c:v>05-04-23 - 11-04-23</c:v>
                </c:pt>
                <c:pt idx="7">
                  <c:v>19-04-23 - 25-04-23</c:v>
                </c:pt>
                <c:pt idx="8">
                  <c:v>03-05-23 - 09-05-23</c:v>
                </c:pt>
                <c:pt idx="9">
                  <c:v>14-06-23 - 20-06-23</c:v>
                </c:pt>
                <c:pt idx="10">
                  <c:v>21-06-23 - 27-06-23</c:v>
                </c:pt>
                <c:pt idx="11">
                  <c:v>12-07-23 - 18-07-23</c:v>
                </c:pt>
                <c:pt idx="12">
                  <c:v>09-08-23 - 15-08-23</c:v>
                </c:pt>
                <c:pt idx="13">
                  <c:v>16-08-23 - 22-08-23</c:v>
                </c:pt>
                <c:pt idx="14">
                  <c:v>23-08-23 - 29-08-23</c:v>
                </c:pt>
                <c:pt idx="15">
                  <c:v>20-09-23 - 26-09-23</c:v>
                </c:pt>
                <c:pt idx="16">
                  <c:v>11-10-23 - 17-10-23</c:v>
                </c:pt>
                <c:pt idx="17">
                  <c:v>25-10-23 - 31-10-23</c:v>
                </c:pt>
                <c:pt idx="18">
                  <c:v>15-11-23 - 21-11-23</c:v>
                </c:pt>
                <c:pt idx="19">
                  <c:v>29-11-23 - 05-12-23</c:v>
                </c:pt>
                <c:pt idx="20">
                  <c:v>06-12-23 - 12-12-23</c:v>
                </c:pt>
                <c:pt idx="21">
                  <c:v>13-12-23 - 19-12-23</c:v>
                </c:pt>
                <c:pt idx="22">
                  <c:v>20-12-23 - 26-12-23</c:v>
                </c:pt>
              </c:strCache>
            </c:strRef>
          </c:cat>
          <c:val>
            <c:numRef>
              <c:f>Inventory!$B$45:$B$68</c:f>
              <c:numCache>
                <c:formatCode>General</c:formatCode>
                <c:ptCount val="23"/>
                <c:pt idx="0">
                  <c:v>102</c:v>
                </c:pt>
                <c:pt idx="1">
                  <c:v>144</c:v>
                </c:pt>
                <c:pt idx="2">
                  <c:v>87</c:v>
                </c:pt>
                <c:pt idx="3">
                  <c:v>25</c:v>
                </c:pt>
                <c:pt idx="4">
                  <c:v>57</c:v>
                </c:pt>
                <c:pt idx="5">
                  <c:v>91</c:v>
                </c:pt>
                <c:pt idx="6">
                  <c:v>50</c:v>
                </c:pt>
                <c:pt idx="7">
                  <c:v>68</c:v>
                </c:pt>
                <c:pt idx="8">
                  <c:v>66</c:v>
                </c:pt>
                <c:pt idx="9">
                  <c:v>49</c:v>
                </c:pt>
                <c:pt idx="10">
                  <c:v>70</c:v>
                </c:pt>
                <c:pt idx="11">
                  <c:v>75</c:v>
                </c:pt>
                <c:pt idx="12">
                  <c:v>70</c:v>
                </c:pt>
                <c:pt idx="13">
                  <c:v>84</c:v>
                </c:pt>
                <c:pt idx="14">
                  <c:v>28</c:v>
                </c:pt>
                <c:pt idx="15">
                  <c:v>72</c:v>
                </c:pt>
                <c:pt idx="16">
                  <c:v>81</c:v>
                </c:pt>
                <c:pt idx="17">
                  <c:v>156</c:v>
                </c:pt>
                <c:pt idx="18">
                  <c:v>59</c:v>
                </c:pt>
                <c:pt idx="19">
                  <c:v>46</c:v>
                </c:pt>
                <c:pt idx="20">
                  <c:v>63</c:v>
                </c:pt>
                <c:pt idx="21">
                  <c:v>29</c:v>
                </c:pt>
                <c:pt idx="22">
                  <c:v>47</c:v>
                </c:pt>
              </c:numCache>
            </c:numRef>
          </c:val>
          <c:smooth val="0"/>
          <c:extLst>
            <c:ext xmlns:c16="http://schemas.microsoft.com/office/drawing/2014/chart" uri="{C3380CC4-5D6E-409C-BE32-E72D297353CC}">
              <c16:uniqueId val="{00000000-025E-46D8-9BE0-9CF4385648E7}"/>
            </c:ext>
          </c:extLst>
        </c:ser>
        <c:ser>
          <c:idx val="1"/>
          <c:order val="1"/>
          <c:tx>
            <c:strRef>
              <c:f>Inventory!$C$44</c:f>
              <c:strCache>
                <c:ptCount val="1"/>
                <c:pt idx="0">
                  <c:v>Sum of Quantity Sold</c:v>
                </c:pt>
              </c:strCache>
            </c:strRef>
          </c:tx>
          <c:spPr>
            <a:ln w="28575" cap="rnd">
              <a:solidFill>
                <a:schemeClr val="accent2"/>
              </a:solidFill>
              <a:round/>
            </a:ln>
            <a:effectLst/>
          </c:spPr>
          <c:marker>
            <c:symbol val="none"/>
          </c:marker>
          <c:cat>
            <c:strRef>
              <c:f>Inventory!$A$45:$A$68</c:f>
              <c:strCache>
                <c:ptCount val="23"/>
                <c:pt idx="0">
                  <c:v>11-01-23 - 17-01-23</c:v>
                </c:pt>
                <c:pt idx="1">
                  <c:v>18-01-23 - 24-01-23</c:v>
                </c:pt>
                <c:pt idx="2">
                  <c:v>15-02-23 - 21-02-23</c:v>
                </c:pt>
                <c:pt idx="3">
                  <c:v>22-02-23 - 28-02-23</c:v>
                </c:pt>
                <c:pt idx="4">
                  <c:v>01-03-23 - 07-03-23</c:v>
                </c:pt>
                <c:pt idx="5">
                  <c:v>15-03-23 - 21-03-23</c:v>
                </c:pt>
                <c:pt idx="6">
                  <c:v>05-04-23 - 11-04-23</c:v>
                </c:pt>
                <c:pt idx="7">
                  <c:v>19-04-23 - 25-04-23</c:v>
                </c:pt>
                <c:pt idx="8">
                  <c:v>03-05-23 - 09-05-23</c:v>
                </c:pt>
                <c:pt idx="9">
                  <c:v>14-06-23 - 20-06-23</c:v>
                </c:pt>
                <c:pt idx="10">
                  <c:v>21-06-23 - 27-06-23</c:v>
                </c:pt>
                <c:pt idx="11">
                  <c:v>12-07-23 - 18-07-23</c:v>
                </c:pt>
                <c:pt idx="12">
                  <c:v>09-08-23 - 15-08-23</c:v>
                </c:pt>
                <c:pt idx="13">
                  <c:v>16-08-23 - 22-08-23</c:v>
                </c:pt>
                <c:pt idx="14">
                  <c:v>23-08-23 - 29-08-23</c:v>
                </c:pt>
                <c:pt idx="15">
                  <c:v>20-09-23 - 26-09-23</c:v>
                </c:pt>
                <c:pt idx="16">
                  <c:v>11-10-23 - 17-10-23</c:v>
                </c:pt>
                <c:pt idx="17">
                  <c:v>25-10-23 - 31-10-23</c:v>
                </c:pt>
                <c:pt idx="18">
                  <c:v>15-11-23 - 21-11-23</c:v>
                </c:pt>
                <c:pt idx="19">
                  <c:v>29-11-23 - 05-12-23</c:v>
                </c:pt>
                <c:pt idx="20">
                  <c:v>06-12-23 - 12-12-23</c:v>
                </c:pt>
                <c:pt idx="21">
                  <c:v>13-12-23 - 19-12-23</c:v>
                </c:pt>
                <c:pt idx="22">
                  <c:v>20-12-23 - 26-12-23</c:v>
                </c:pt>
              </c:strCache>
            </c:strRef>
          </c:cat>
          <c:val>
            <c:numRef>
              <c:f>Inventory!$C$45:$C$68</c:f>
              <c:numCache>
                <c:formatCode>General</c:formatCode>
                <c:ptCount val="23"/>
                <c:pt idx="0">
                  <c:v>133</c:v>
                </c:pt>
                <c:pt idx="1">
                  <c:v>92</c:v>
                </c:pt>
                <c:pt idx="2">
                  <c:v>43</c:v>
                </c:pt>
                <c:pt idx="3">
                  <c:v>79</c:v>
                </c:pt>
                <c:pt idx="4">
                  <c:v>68</c:v>
                </c:pt>
                <c:pt idx="5">
                  <c:v>78</c:v>
                </c:pt>
                <c:pt idx="6">
                  <c:v>66</c:v>
                </c:pt>
                <c:pt idx="7">
                  <c:v>55</c:v>
                </c:pt>
                <c:pt idx="8">
                  <c:v>46</c:v>
                </c:pt>
                <c:pt idx="9">
                  <c:v>15</c:v>
                </c:pt>
                <c:pt idx="10">
                  <c:v>56</c:v>
                </c:pt>
                <c:pt idx="11">
                  <c:v>70</c:v>
                </c:pt>
                <c:pt idx="12">
                  <c:v>81</c:v>
                </c:pt>
                <c:pt idx="13">
                  <c:v>80</c:v>
                </c:pt>
                <c:pt idx="14">
                  <c:v>40</c:v>
                </c:pt>
                <c:pt idx="15">
                  <c:v>118</c:v>
                </c:pt>
                <c:pt idx="16">
                  <c:v>75</c:v>
                </c:pt>
                <c:pt idx="17">
                  <c:v>82</c:v>
                </c:pt>
                <c:pt idx="18">
                  <c:v>20</c:v>
                </c:pt>
                <c:pt idx="19">
                  <c:v>68</c:v>
                </c:pt>
                <c:pt idx="20">
                  <c:v>67</c:v>
                </c:pt>
                <c:pt idx="21">
                  <c:v>44</c:v>
                </c:pt>
                <c:pt idx="22">
                  <c:v>68</c:v>
                </c:pt>
              </c:numCache>
            </c:numRef>
          </c:val>
          <c:smooth val="0"/>
          <c:extLst>
            <c:ext xmlns:c16="http://schemas.microsoft.com/office/drawing/2014/chart" uri="{C3380CC4-5D6E-409C-BE32-E72D297353CC}">
              <c16:uniqueId val="{00000001-025E-46D8-9BE0-9CF4385648E7}"/>
            </c:ext>
          </c:extLst>
        </c:ser>
        <c:dLbls>
          <c:showLegendKey val="0"/>
          <c:showVal val="0"/>
          <c:showCatName val="0"/>
          <c:showSerName val="0"/>
          <c:showPercent val="0"/>
          <c:showBubbleSize val="0"/>
        </c:dLbls>
        <c:smooth val="0"/>
        <c:axId val="834625119"/>
        <c:axId val="834625535"/>
      </c:lineChart>
      <c:catAx>
        <c:axId val="8346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25535"/>
        <c:crosses val="autoZero"/>
        <c:auto val="1"/>
        <c:lblAlgn val="ctr"/>
        <c:lblOffset val="100"/>
        <c:noMultiLvlLbl val="0"/>
      </c:catAx>
      <c:valAx>
        <c:axId val="83462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[Assi5.xlsx]Expense_Tracking!PivotTable5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a:t>
            </a:r>
            <a:r>
              <a:rPr lang="en-US" baseline="0"/>
              <a:t> Expense vs  Budget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Expense_Tracking!$E$54</c:f>
              <c:strCache>
                <c:ptCount val="1"/>
                <c:pt idx="0">
                  <c:v>Sum of Budget</c:v>
                </c:pt>
              </c:strCache>
            </c:strRef>
          </c:tx>
          <c:spPr>
            <a:solidFill>
              <a:schemeClr val="accent1"/>
            </a:solidFill>
            <a:ln>
              <a:noFill/>
            </a:ln>
            <a:effectLst/>
          </c:spPr>
          <c:invertIfNegative val="0"/>
          <c:cat>
            <c:strRef>
              <c:f>Expense_Tracking!$E$55</c:f>
              <c:strCache>
                <c:ptCount val="1"/>
                <c:pt idx="0">
                  <c:v>Total</c:v>
                </c:pt>
              </c:strCache>
            </c:strRef>
          </c:cat>
          <c:val>
            <c:numRef>
              <c:f>Expense_Tracking!$E$55</c:f>
              <c:numCache>
                <c:formatCode>General</c:formatCode>
                <c:ptCount val="1"/>
                <c:pt idx="0">
                  <c:v>291137</c:v>
                </c:pt>
              </c:numCache>
            </c:numRef>
          </c:val>
          <c:extLst>
            <c:ext xmlns:c16="http://schemas.microsoft.com/office/drawing/2014/chart" uri="{C3380CC4-5D6E-409C-BE32-E72D297353CC}">
              <c16:uniqueId val="{00000000-6448-4940-B935-295D975DC961}"/>
            </c:ext>
          </c:extLst>
        </c:ser>
        <c:ser>
          <c:idx val="1"/>
          <c:order val="1"/>
          <c:tx>
            <c:strRef>
              <c:f>Expense_Tracking!$F$54</c:f>
              <c:strCache>
                <c:ptCount val="1"/>
                <c:pt idx="0">
                  <c:v>Sum of Expense Amount</c:v>
                </c:pt>
              </c:strCache>
            </c:strRef>
          </c:tx>
          <c:spPr>
            <a:solidFill>
              <a:schemeClr val="accent2"/>
            </a:solidFill>
            <a:ln>
              <a:noFill/>
            </a:ln>
            <a:effectLst/>
          </c:spPr>
          <c:invertIfNegative val="0"/>
          <c:cat>
            <c:strRef>
              <c:f>Expense_Tracking!$E$55</c:f>
              <c:strCache>
                <c:ptCount val="1"/>
                <c:pt idx="0">
                  <c:v>Total</c:v>
                </c:pt>
              </c:strCache>
            </c:strRef>
          </c:cat>
          <c:val>
            <c:numRef>
              <c:f>Expense_Tracking!$F$55</c:f>
              <c:numCache>
                <c:formatCode>General</c:formatCode>
                <c:ptCount val="1"/>
                <c:pt idx="0">
                  <c:v>154861</c:v>
                </c:pt>
              </c:numCache>
            </c:numRef>
          </c:val>
          <c:extLst>
            <c:ext xmlns:c16="http://schemas.microsoft.com/office/drawing/2014/chart" uri="{C3380CC4-5D6E-409C-BE32-E72D297353CC}">
              <c16:uniqueId val="{00000001-6448-4940-B935-295D975DC961}"/>
            </c:ext>
          </c:extLst>
        </c:ser>
        <c:dLbls>
          <c:showLegendKey val="0"/>
          <c:showVal val="0"/>
          <c:showCatName val="0"/>
          <c:showSerName val="0"/>
          <c:showPercent val="0"/>
          <c:showBubbleSize val="0"/>
        </c:dLbls>
        <c:gapWidth val="182"/>
        <c:axId val="1472048000"/>
        <c:axId val="1472035520"/>
      </c:barChart>
      <c:catAx>
        <c:axId val="147204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35520"/>
        <c:crosses val="autoZero"/>
        <c:auto val="1"/>
        <c:lblAlgn val="ctr"/>
        <c:lblOffset val="100"/>
        <c:noMultiLvlLbl val="0"/>
      </c:catAx>
      <c:valAx>
        <c:axId val="1472035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04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[Assi5.xlsx]Customer Orders!PivotTable11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Orders and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Orders'!$B$58</c:f>
              <c:strCache>
                <c:ptCount val="1"/>
                <c:pt idx="0">
                  <c:v>Count of Order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Orders'!$A$59:$A$69</c:f>
              <c:strCache>
                <c:ptCount val="10"/>
                <c:pt idx="0">
                  <c:v>Feb</c:v>
                </c:pt>
                <c:pt idx="1">
                  <c:v>Mar</c:v>
                </c:pt>
                <c:pt idx="2">
                  <c:v>Apr</c:v>
                </c:pt>
                <c:pt idx="3">
                  <c:v>May</c:v>
                </c:pt>
                <c:pt idx="4">
                  <c:v>Jun</c:v>
                </c:pt>
                <c:pt idx="5">
                  <c:v>Jul</c:v>
                </c:pt>
                <c:pt idx="6">
                  <c:v>Aug</c:v>
                </c:pt>
                <c:pt idx="7">
                  <c:v>Sep</c:v>
                </c:pt>
                <c:pt idx="8">
                  <c:v>Oct</c:v>
                </c:pt>
                <c:pt idx="9">
                  <c:v>Nov</c:v>
                </c:pt>
              </c:strCache>
            </c:strRef>
          </c:cat>
          <c:val>
            <c:numRef>
              <c:f>'Customer Orders'!$B$59:$B$69</c:f>
              <c:numCache>
                <c:formatCode>General</c:formatCode>
                <c:ptCount val="10"/>
                <c:pt idx="0">
                  <c:v>3</c:v>
                </c:pt>
                <c:pt idx="1">
                  <c:v>1</c:v>
                </c:pt>
                <c:pt idx="2">
                  <c:v>1</c:v>
                </c:pt>
                <c:pt idx="3">
                  <c:v>5</c:v>
                </c:pt>
                <c:pt idx="4">
                  <c:v>2</c:v>
                </c:pt>
                <c:pt idx="5">
                  <c:v>4</c:v>
                </c:pt>
                <c:pt idx="6">
                  <c:v>2</c:v>
                </c:pt>
                <c:pt idx="7">
                  <c:v>3</c:v>
                </c:pt>
                <c:pt idx="8">
                  <c:v>5</c:v>
                </c:pt>
                <c:pt idx="9">
                  <c:v>4</c:v>
                </c:pt>
              </c:numCache>
            </c:numRef>
          </c:val>
          <c:smooth val="0"/>
          <c:extLst>
            <c:ext xmlns:c16="http://schemas.microsoft.com/office/drawing/2014/chart" uri="{C3380CC4-5D6E-409C-BE32-E72D297353CC}">
              <c16:uniqueId val="{00000000-A3F2-4D77-A3F2-E3D07EBD414D}"/>
            </c:ext>
          </c:extLst>
        </c:ser>
        <c:ser>
          <c:idx val="1"/>
          <c:order val="1"/>
          <c:tx>
            <c:strRef>
              <c:f>'Customer Orders'!$C$58</c:f>
              <c:strCache>
                <c:ptCount val="1"/>
                <c:pt idx="0">
                  <c:v>Sum of Order Value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'Customer Orders'!$A$59:$A$69</c:f>
              <c:strCache>
                <c:ptCount val="10"/>
                <c:pt idx="0">
                  <c:v>Feb</c:v>
                </c:pt>
                <c:pt idx="1">
                  <c:v>Mar</c:v>
                </c:pt>
                <c:pt idx="2">
                  <c:v>Apr</c:v>
                </c:pt>
                <c:pt idx="3">
                  <c:v>May</c:v>
                </c:pt>
                <c:pt idx="4">
                  <c:v>Jun</c:v>
                </c:pt>
                <c:pt idx="5">
                  <c:v>Jul</c:v>
                </c:pt>
                <c:pt idx="6">
                  <c:v>Aug</c:v>
                </c:pt>
                <c:pt idx="7">
                  <c:v>Sep</c:v>
                </c:pt>
                <c:pt idx="8">
                  <c:v>Oct</c:v>
                </c:pt>
                <c:pt idx="9">
                  <c:v>Nov</c:v>
                </c:pt>
              </c:strCache>
            </c:strRef>
          </c:cat>
          <c:val>
            <c:numRef>
              <c:f>'Customer Orders'!$C$59:$C$69</c:f>
              <c:numCache>
                <c:formatCode>General</c:formatCode>
                <c:ptCount val="10"/>
                <c:pt idx="0">
                  <c:v>91056</c:v>
                </c:pt>
                <c:pt idx="1">
                  <c:v>14341</c:v>
                </c:pt>
                <c:pt idx="2">
                  <c:v>43861</c:v>
                </c:pt>
                <c:pt idx="3">
                  <c:v>115886</c:v>
                </c:pt>
                <c:pt idx="4">
                  <c:v>45803</c:v>
                </c:pt>
                <c:pt idx="5">
                  <c:v>140518</c:v>
                </c:pt>
                <c:pt idx="6">
                  <c:v>15431</c:v>
                </c:pt>
                <c:pt idx="7">
                  <c:v>87783</c:v>
                </c:pt>
                <c:pt idx="8">
                  <c:v>150393</c:v>
                </c:pt>
                <c:pt idx="9">
                  <c:v>80469</c:v>
                </c:pt>
              </c:numCache>
            </c:numRef>
          </c:val>
          <c:smooth val="0"/>
          <c:extLst>
            <c:ext xmlns:c16="http://schemas.microsoft.com/office/drawing/2014/chart" uri="{C3380CC4-5D6E-409C-BE32-E72D297353CC}">
              <c16:uniqueId val="{00000001-A3F2-4D77-A3F2-E3D07EBD414D}"/>
            </c:ext>
          </c:extLst>
        </c:ser>
        <c:dLbls>
          <c:showLegendKey val="0"/>
          <c:showVal val="0"/>
          <c:showCatName val="0"/>
          <c:showSerName val="0"/>
          <c:showPercent val="0"/>
          <c:showBubbleSize val="0"/>
        </c:dLbls>
        <c:marker val="1"/>
        <c:smooth val="0"/>
        <c:axId val="1434277392"/>
        <c:axId val="1434274896"/>
      </c:lineChart>
      <c:catAx>
        <c:axId val="143427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4896"/>
        <c:crosses val="autoZero"/>
        <c:auto val="1"/>
        <c:lblAlgn val="ctr"/>
        <c:lblOffset val="100"/>
        <c:noMultiLvlLbl val="0"/>
      </c:catAx>
      <c:valAx>
        <c:axId val="143427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60</xdr:row>
      <xdr:rowOff>157162</xdr:rowOff>
    </xdr:from>
    <xdr:to>
      <xdr:col>3</xdr:col>
      <xdr:colOff>695326</xdr:colOff>
      <xdr:row>75</xdr:row>
      <xdr:rowOff>114299</xdr:rowOff>
    </xdr:to>
    <xdr:graphicFrame macro="">
      <xdr:nvGraphicFramePr>
        <xdr:cNvPr id="2" name="Chart 1">
          <a:extLst>
            <a:ext uri="{FF2B5EF4-FFF2-40B4-BE49-F238E27FC236}">
              <a16:creationId xmlns:a16="http://schemas.microsoft.com/office/drawing/2014/main" id="{D98600A1-FE04-43E0-B03D-168F90483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495301</xdr:colOff>
      <xdr:row>60</xdr:row>
      <xdr:rowOff>147637</xdr:rowOff>
    </xdr:from>
    <xdr:to>
      <xdr:col>7</xdr:col>
      <xdr:colOff>952501</xdr:colOff>
      <xdr:row>75</xdr:row>
      <xdr:rowOff>57150</xdr:rowOff>
    </xdr:to>
    <xdr:graphicFrame macro="">
      <xdr:nvGraphicFramePr>
        <xdr:cNvPr id="4" name="Chart 3">
          <a:extLst>
            <a:ext uri="{FF2B5EF4-FFF2-40B4-BE49-F238E27FC236}">
              <a16:creationId xmlns:a16="http://schemas.microsoft.com/office/drawing/2014/main" id="{8C05095C-3EB3-40C0-8D92-23887A685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200025</xdr:colOff>
      <xdr:row>77</xdr:row>
      <xdr:rowOff>57150</xdr:rowOff>
    </xdr:from>
    <xdr:to>
      <xdr:col>1</xdr:col>
      <xdr:colOff>76200</xdr:colOff>
      <xdr:row>90</xdr:row>
      <xdr:rowOff>104775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A0CD3D9-E682-4735-A311-2D356C98D6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0025" y="14725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552450</xdr:colOff>
      <xdr:row>78</xdr:row>
      <xdr:rowOff>0</xdr:rowOff>
    </xdr:from>
    <xdr:to>
      <xdr:col>6</xdr:col>
      <xdr:colOff>466725</xdr:colOff>
      <xdr:row>91</xdr:row>
      <xdr:rowOff>47625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E0F6A226-DA57-4855-9E23-3E2DBDC5362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514975" y="14859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67</xdr:row>
      <xdr:rowOff>147637</xdr:rowOff>
    </xdr:from>
    <xdr:to>
      <xdr:col>2</xdr:col>
      <xdr:colOff>809625</xdr:colOff>
      <xdr:row>81</xdr:row>
      <xdr:rowOff>95250</xdr:rowOff>
    </xdr:to>
    <xdr:graphicFrame macro="">
      <xdr:nvGraphicFramePr>
        <xdr:cNvPr id="2" name="Chart 1">
          <a:extLst>
            <a:ext uri="{FF2B5EF4-FFF2-40B4-BE49-F238E27FC236}">
              <a16:creationId xmlns:a16="http://schemas.microsoft.com/office/drawing/2014/main" id="{FC29805E-4D69-443E-926D-53D9CD4D6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276224</xdr:colOff>
      <xdr:row>114</xdr:row>
      <xdr:rowOff>9525</xdr:rowOff>
    </xdr:from>
    <xdr:to>
      <xdr:col>3</xdr:col>
      <xdr:colOff>561974</xdr:colOff>
      <xdr:row>128</xdr:row>
      <xdr:rowOff>152400</xdr:rowOff>
    </xdr:to>
    <xdr:graphicFrame macro="">
      <xdr:nvGraphicFramePr>
        <xdr:cNvPr id="3" name="Chart 2">
          <a:extLst>
            <a:ext uri="{FF2B5EF4-FFF2-40B4-BE49-F238E27FC236}">
              <a16:creationId xmlns:a16="http://schemas.microsoft.com/office/drawing/2014/main" id="{DB67789D-6428-4209-98DC-FC80706C2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180975</xdr:colOff>
      <xdr:row>71</xdr:row>
      <xdr:rowOff>128588</xdr:rowOff>
    </xdr:from>
    <xdr:to>
      <xdr:col>2</xdr:col>
      <xdr:colOff>1133475</xdr:colOff>
      <xdr:row>84</xdr:row>
      <xdr:rowOff>9526</xdr:rowOff>
    </xdr:to>
    <xdr:graphicFrame macro="">
      <xdr:nvGraphicFramePr>
        <xdr:cNvPr id="2" name="Chart 1">
          <a:extLst>
            <a:ext uri="{FF2B5EF4-FFF2-40B4-BE49-F238E27FC236}">
              <a16:creationId xmlns:a16="http://schemas.microsoft.com/office/drawing/2014/main" id="{7726637E-330E-478F-BD5D-F8B9724FC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361950</xdr:colOff>
      <xdr:row>72</xdr:row>
      <xdr:rowOff>57149</xdr:rowOff>
    </xdr:from>
    <xdr:to>
      <xdr:col>6</xdr:col>
      <xdr:colOff>476250</xdr:colOff>
      <xdr:row>84</xdr:row>
      <xdr:rowOff>19050</xdr:rowOff>
    </xdr:to>
    <xdr:graphicFrame macro="">
      <xdr:nvGraphicFramePr>
        <xdr:cNvPr id="3" name="Chart 2">
          <a:extLst>
            <a:ext uri="{FF2B5EF4-FFF2-40B4-BE49-F238E27FC236}">
              <a16:creationId xmlns:a16="http://schemas.microsoft.com/office/drawing/2014/main" id="{7F2D5C1C-8CCB-465D-A440-18458DCF9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295275</xdr:colOff>
      <xdr:row>85</xdr:row>
      <xdr:rowOff>57151</xdr:rowOff>
    </xdr:from>
    <xdr:to>
      <xdr:col>5</xdr:col>
      <xdr:colOff>104775</xdr:colOff>
      <xdr:row>93</xdr:row>
      <xdr:rowOff>114301</xdr:rowOff>
    </xdr:to>
    <mc:AlternateContent xmlns:mc="http://schemas.openxmlformats.org/markup-compatibility/2006" xmlns:a14="http://schemas.microsoft.com/office/drawing/2010/main">
      <mc:Choice Requires="a14">
        <xdr:graphicFrame macro="">
          <xdr:nvGraphicFramePr>
            <xdr:cNvPr id="4" name="Warehouse">
              <a:extLst>
                <a:ext uri="{FF2B5EF4-FFF2-40B4-BE49-F238E27FC236}">
                  <a16:creationId xmlns:a16="http://schemas.microsoft.com/office/drawing/2014/main" id="{E11FD7C9-5D24-498B-8C03-3B23D028D7BD}"/>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4181475" y="16249651"/>
              <a:ext cx="1885950"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61</xdr:row>
      <xdr:rowOff>147637</xdr:rowOff>
    </xdr:from>
    <xdr:to>
      <xdr:col>2</xdr:col>
      <xdr:colOff>495300</xdr:colOff>
      <xdr:row>73</xdr:row>
      <xdr:rowOff>28575</xdr:rowOff>
    </xdr:to>
    <xdr:graphicFrame macro="">
      <xdr:nvGraphicFramePr>
        <xdr:cNvPr id="2" name="Chart 1">
          <a:extLst>
            <a:ext uri="{FF2B5EF4-FFF2-40B4-BE49-F238E27FC236}">
              <a16:creationId xmlns:a16="http://schemas.microsoft.com/office/drawing/2014/main" id="{A4FB7584-49F6-40AD-B83F-C1F810EB8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71</xdr:row>
      <xdr:rowOff>61912</xdr:rowOff>
    </xdr:from>
    <xdr:to>
      <xdr:col>3</xdr:col>
      <xdr:colOff>57150</xdr:colOff>
      <xdr:row>81</xdr:row>
      <xdr:rowOff>180975</xdr:rowOff>
    </xdr:to>
    <xdr:graphicFrame macro="">
      <xdr:nvGraphicFramePr>
        <xdr:cNvPr id="2" name="Chart 1">
          <a:extLst>
            <a:ext uri="{FF2B5EF4-FFF2-40B4-BE49-F238E27FC236}">
              <a16:creationId xmlns:a16="http://schemas.microsoft.com/office/drawing/2014/main" id="{2CA75FEE-E522-4160-951A-381BBD580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1476375</xdr:colOff>
      <xdr:row>52</xdr:row>
      <xdr:rowOff>28575</xdr:rowOff>
    </xdr:from>
    <xdr:to>
      <xdr:col>5</xdr:col>
      <xdr:colOff>466725</xdr:colOff>
      <xdr:row>65</xdr:row>
      <xdr:rowOff>76200</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34F63E57-643B-4001-9498-9D806433B1A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133850" y="9934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1409700</xdr:colOff>
      <xdr:row>52</xdr:row>
      <xdr:rowOff>0</xdr:rowOff>
    </xdr:from>
    <xdr:to>
      <xdr:col>7</xdr:col>
      <xdr:colOff>933450</xdr:colOff>
      <xdr:row>65</xdr:row>
      <xdr:rowOff>47625</xdr:rowOff>
    </xdr:to>
    <mc:AlternateContent xmlns:mc="http://schemas.openxmlformats.org/markup-compatibility/2006">
      <mc:Choice xmlns:a14="http://schemas.microsoft.com/office/drawing/2010/main" Requires="a14">
        <xdr:graphicFrame macro="">
          <xdr:nvGraphicFramePr>
            <xdr:cNvPr id="4" name="Delivery Status">
              <a:extLst>
                <a:ext uri="{FF2B5EF4-FFF2-40B4-BE49-F238E27FC236}">
                  <a16:creationId xmlns:a16="http://schemas.microsoft.com/office/drawing/2014/main" id="{C8D75718-5108-4D15-BF89-23B397CE633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6905625" y="9906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3.759695023145" createdVersion="7" refreshedVersion="7" minRefreshableVersion="3" recordCount="30" xr:uid="{60B0C140-2F9A-4CC0-BB93-64E40A2C0BD0}">
  <cacheSource type="worksheet">
    <worksheetSource name="Table1"/>
  </cacheSource>
  <cacheFields count="9">
    <cacheField name="Date" numFmtId="164">
      <sharedItems containsSemiMixedTypes="0" containsNonDate="0" containsDate="1" containsString="0" minDate="2023-01-26T00:00:00" maxDate="2023-12-23T00:00:00" count="27">
        <d v="2023-04-03T00:00:00"/>
        <d v="2023-07-02T00:00:00"/>
        <d v="2023-12-07T00:00:00"/>
        <d v="2023-03-13T00:00:00"/>
        <d v="2023-08-11T00:00:00"/>
        <d v="2023-11-19T00:00:00"/>
        <d v="2023-04-08T00:00:00"/>
        <d v="2023-03-23T00:00:00"/>
        <d v="2023-08-01T00:00:00"/>
        <d v="2023-06-29T00:00:00"/>
        <d v="2023-02-12T00:00:00"/>
        <d v="2023-08-17T00:00:00"/>
        <d v="2023-07-09T00:00:00"/>
        <d v="2023-01-28T00:00:00"/>
        <d v="2023-02-15T00:00:00"/>
        <d v="2023-05-03T00:00:00"/>
        <d v="2023-10-03T00:00:00"/>
        <d v="2023-09-01T00:00:00"/>
        <d v="2023-04-01T00:00:00"/>
        <d v="2023-09-08T00:00:00"/>
        <d v="2023-04-30T00:00:00"/>
        <d v="2023-01-26T00:00:00"/>
        <d v="2023-02-06T00:00:00"/>
        <d v="2023-09-09T00:00:00"/>
        <d v="2023-02-13T00:00:00"/>
        <d v="2023-12-22T00:00:00"/>
        <d v="2023-11-17T00:00:00"/>
      </sharedItems>
      <fieldGroup par="8" base="0">
        <rangePr groupBy="days" startDate="2023-01-26T00:00:00" endDate="2023-12-23T00:00:00"/>
        <groupItems count="368">
          <s v="&lt;26-01-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12-23"/>
        </groupItems>
      </fieldGroup>
    </cacheField>
    <cacheField name="Region" numFmtId="0">
      <sharedItems count="4">
        <s v="West"/>
        <s v="South"/>
        <s v="North"/>
        <s v="East"/>
      </sharedItems>
    </cacheField>
    <cacheField name="Salesperson" numFmtId="0">
      <sharedItems count="5">
        <s v="Bob"/>
        <s v="Alice"/>
        <s v="Eva"/>
        <s v="David"/>
        <s v="Charlie"/>
      </sharedItems>
    </cacheField>
    <cacheField name="Product" numFmtId="0">
      <sharedItems count="5">
        <s v="Tablet"/>
        <s v="Phone"/>
        <s v="Keyboard"/>
        <s v="Laptop"/>
        <s v="Monitor"/>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containsInteger="1" minValue="164" maxValue="995"/>
    </cacheField>
    <cacheField name="Revenue" numFmtId="0">
      <sharedItems containsSemiMixedTypes="0" containsString="0" containsNumber="1" containsInteger="1" minValue="970" maxValue="19500" count="30">
        <n v="9708"/>
        <n v="4180"/>
        <n v="6336"/>
        <n v="7610"/>
        <n v="4320"/>
        <n v="19500"/>
        <n v="10906"/>
        <n v="10829"/>
        <n v="16663"/>
        <n v="3474"/>
        <n v="3780"/>
        <n v="2184"/>
        <n v="10820"/>
        <n v="11320"/>
        <n v="995"/>
        <n v="17540"/>
        <n v="2180"/>
        <n v="970"/>
        <n v="2670"/>
        <n v="5406"/>
        <n v="1148"/>
        <n v="9872"/>
        <n v="3653"/>
        <n v="11635"/>
        <n v="4570"/>
        <n v="7560"/>
        <n v="7857"/>
        <n v="14076"/>
        <n v="8240"/>
        <n v="1836"/>
      </sharedItems>
    </cacheField>
    <cacheField name="Profit" numFmtId="0">
      <sharedItems containsSemiMixedTypes="0" containsString="0" containsNumber="1" minValue="194" maxValue="3900"/>
    </cacheField>
    <cacheField name="Months" numFmtId="0" databaseField="0">
      <fieldGroup base="0">
        <rangePr groupBy="months" startDate="2023-01-26T00:00:00" endDate="2023-12-23T00:00:00"/>
        <groupItems count="14">
          <s v="&lt;26-01-23"/>
          <s v="Jan"/>
          <s v="Feb"/>
          <s v="Mar"/>
          <s v="Apr"/>
          <s v="May"/>
          <s v="Jun"/>
          <s v="Jul"/>
          <s v="Aug"/>
          <s v="Sep"/>
          <s v="Oct"/>
          <s v="Nov"/>
          <s v="Dec"/>
          <s v="&gt;23-12-23"/>
        </groupItems>
      </fieldGroup>
    </cacheField>
  </cacheFields>
  <extLst>
    <ext xmlns:x14="http://schemas.microsoft.com/office/spreadsheetml/2009/9/main" uri="{725AE2AE-9491-48be-B2B4-4EB974FC3084}">
      <x14:pivotCacheDefinition pivotCacheId="8515760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3.912647685182" createdVersion="7" refreshedVersion="7" minRefreshableVersion="3" recordCount="30" xr:uid="{494E6DBF-4CE1-4C3E-9FA8-26042DFC1DFE}">
  <cacheSource type="worksheet">
    <worksheetSource name="Table2"/>
  </cacheSource>
  <cacheFields count="8">
    <cacheField name="Employee ID" numFmtId="0">
      <sharedItems count="30">
        <s v="E1000"/>
        <s v="E1001"/>
        <s v="E1002"/>
        <s v="E1003"/>
        <s v="E1004"/>
        <s v="E1005"/>
        <s v="E1006"/>
        <s v="E1007"/>
        <s v="E1008"/>
        <s v="E1009"/>
        <s v="E1010"/>
        <s v="E1011"/>
        <s v="E1012"/>
        <s v="E1013"/>
        <s v="E1014"/>
        <s v="E1015"/>
        <s v="E1016"/>
        <s v="E1017"/>
        <s v="E1018"/>
        <s v="E1019"/>
        <s v="E1020"/>
        <s v="E1021"/>
        <s v="E1022"/>
        <s v="E1023"/>
        <s v="E1024"/>
        <s v="E1025"/>
        <s v="E1026"/>
        <s v="E1027"/>
        <s v="E1028"/>
        <s v="E1029"/>
      </sharedItems>
    </cacheField>
    <cacheField name="Department" numFmtId="0">
      <sharedItems count="5">
        <s v="HR"/>
        <s v="IT"/>
        <s v="Finance"/>
        <s v="Sales"/>
        <s v="Support"/>
      </sharedItems>
    </cacheField>
    <cacheField name="Gender" numFmtId="0">
      <sharedItems count="2">
        <s v="Female"/>
        <s v="Male"/>
      </sharedItems>
    </cacheField>
    <cacheField name="Age" numFmtId="0">
      <sharedItems containsSemiMixedTypes="0" containsString="0" containsNumber="1" containsInteger="1" minValue="22" maxValue="49"/>
    </cacheField>
    <cacheField name="Join Date" numFmtId="164">
      <sharedItems containsSemiMixedTypes="0" containsNonDate="0" containsDate="1" containsString="0" minDate="2020-01-22T00:00:00" maxDate="2023-12-20T00:00:00"/>
    </cacheField>
    <cacheField name="Exit Date" numFmtId="0">
      <sharedItems containsNonDate="0" containsDate="1" containsString="0" containsBlank="1" minDate="2021-05-02T00:00:00" maxDate="2026-02-02T00:00:00" count="21">
        <d v="2024-05-30T00:00:00"/>
        <d v="2024-11-29T00:00:00"/>
        <m/>
        <d v="2023-09-07T00:00:00"/>
        <d v="2024-11-18T00:00:00"/>
        <d v="2025-01-11T00:00:00"/>
        <d v="2023-04-26T00:00:00"/>
        <d v="2021-11-20T00:00:00"/>
        <d v="2025-08-18T00:00:00"/>
        <d v="2024-07-18T00:00:00"/>
        <d v="2021-05-02T00:00:00"/>
        <d v="2021-10-08T00:00:00"/>
        <d v="2023-01-23T00:00:00"/>
        <d v="2022-01-02T00:00:00"/>
        <d v="2021-12-15T00:00:00"/>
        <d v="2023-12-04T00:00:00"/>
        <d v="2024-06-06T00:00:00"/>
        <d v="2024-03-15T00:00:00"/>
        <d v="2025-03-02T00:00:00"/>
        <d v="2023-12-29T00:00:00"/>
        <d v="2026-02-01T00:00:00"/>
      </sharedItems>
      <fieldGroup base="5">
        <rangePr groupBy="years" startDate="2021-05-02T00:00:00" endDate="2026-02-02T00:00:00"/>
        <groupItems count="8">
          <s v="(blank)"/>
          <s v="2021"/>
          <s v="2022"/>
          <s v="2023"/>
          <s v="2024"/>
          <s v="2025"/>
          <s v="2026"/>
          <s v="&gt;02-02-26"/>
        </groupItems>
      </fieldGroup>
    </cacheField>
    <cacheField name="Status" numFmtId="0">
      <sharedItems count="2">
        <s v="Resigned"/>
        <s v="Active"/>
      </sharedItems>
    </cacheField>
    <cacheField name="Salary" numFmtId="0">
      <sharedItems containsSemiMixedTypes="0" containsString="0" containsNumber="1" containsInteger="1" minValue="30083" maxValue="107731" count="30">
        <n v="57360"/>
        <n v="39014"/>
        <n v="30083"/>
        <n v="71032"/>
        <n v="46427"/>
        <n v="104801"/>
        <n v="63913"/>
        <n v="79964"/>
        <n v="71187"/>
        <n v="85778"/>
        <n v="38642"/>
        <n v="52972"/>
        <n v="105379"/>
        <n v="107731"/>
        <n v="32559"/>
        <n v="55865"/>
        <n v="98094"/>
        <n v="90546"/>
        <n v="34566"/>
        <n v="105366"/>
        <n v="63032"/>
        <n v="65831"/>
        <n v="34892"/>
        <n v="31149"/>
        <n v="42901"/>
        <n v="84454"/>
        <n v="57114"/>
        <n v="64488"/>
        <n v="89017"/>
        <n v="10561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3.959555555557" createdVersion="7" refreshedVersion="7" minRefreshableVersion="3" recordCount="30" xr:uid="{908436A4-A4EC-4932-8D4A-4870C6971E39}">
  <cacheSource type="worksheet">
    <worksheetSource name="Table3"/>
  </cacheSource>
  <cacheFields count="9">
    <cacheField name="Product ID" numFmtId="0">
      <sharedItems/>
    </cacheField>
    <cacheField name="Product Category" numFmtId="0">
      <sharedItems count="3">
        <s v="Electronics"/>
        <s v="Furniture"/>
        <s v="Stationery"/>
      </sharedItems>
    </cacheField>
    <cacheField name="Warehouse" numFmtId="0">
      <sharedItems count="3">
        <s v="W1"/>
        <s v="W2"/>
        <s v="W3"/>
      </sharedItems>
    </cacheField>
    <cacheField name="Opening Stock" numFmtId="0">
      <sharedItems containsSemiMixedTypes="0" containsString="0" containsNumber="1" containsInteger="1" minValue="54" maxValue="196"/>
    </cacheField>
    <cacheField name="Quantity Sold" numFmtId="0">
      <sharedItems containsSemiMixedTypes="0" containsString="0" containsNumber="1" containsInteger="1" minValue="10" maxValue="80"/>
    </cacheField>
    <cacheField name="Quantity Purchased" numFmtId="0">
      <sharedItems containsSemiMixedTypes="0" containsString="0" containsNumber="1" containsInteger="1" minValue="21" maxValue="91"/>
    </cacheField>
    <cacheField name="Date" numFmtId="164">
      <sharedItems containsSemiMixedTypes="0" containsNonDate="0" containsDate="1" containsString="0" minDate="2023-01-11T00:00:00" maxDate="2023-12-27T00:00:00" count="30">
        <d v="2023-08-17T00:00:00"/>
        <d v="2023-09-20T00:00:00"/>
        <d v="2023-02-26T00:00:00"/>
        <d v="2023-10-15T00:00:00"/>
        <d v="2023-12-18T00:00:00"/>
        <d v="2023-12-09T00:00:00"/>
        <d v="2023-09-22T00:00:00"/>
        <d v="2023-10-25T00:00:00"/>
        <d v="2023-06-17T00:00:00"/>
        <d v="2023-02-15T00:00:00"/>
        <d v="2023-01-21T00:00:00"/>
        <d v="2023-01-15T00:00:00"/>
        <d v="2023-04-25T00:00:00"/>
        <d v="2023-08-15T00:00:00"/>
        <d v="2023-04-10T00:00:00"/>
        <d v="2023-10-31T00:00:00"/>
        <d v="2023-02-21T00:00:00"/>
        <d v="2023-03-18T00:00:00"/>
        <d v="2023-03-19T00:00:00"/>
        <d v="2023-08-28T00:00:00"/>
        <d v="2023-05-06T00:00:00"/>
        <d v="2023-11-17T00:00:00"/>
        <d v="2023-06-23T00:00:00"/>
        <d v="2023-12-26T00:00:00"/>
        <d v="2023-03-02T00:00:00"/>
        <d v="2023-07-16T00:00:00"/>
        <d v="2023-01-11T00:00:00"/>
        <d v="2023-12-01T00:00:00"/>
        <d v="2023-08-09T00:00:00"/>
        <d v="2023-01-18T00:00:00"/>
      </sharedItems>
      <fieldGroup base="6">
        <rangePr groupBy="days" startDate="2023-01-11T00:00:00" endDate="2023-12-27T00:00:00" groupInterval="7"/>
        <groupItems count="52">
          <s v="&lt;11-01-23"/>
          <s v="11-01-23 - 17-01-23"/>
          <s v="18-01-23 - 24-01-23"/>
          <s v="25-01-23 - 31-01-23"/>
          <s v="01-02-23 - 07-02-23"/>
          <s v="08-02-23 - 14-02-23"/>
          <s v="15-02-23 - 21-02-23"/>
          <s v="22-02-23 - 28-02-23"/>
          <s v="01-03-23 - 07-03-23"/>
          <s v="08-03-23 - 14-03-23"/>
          <s v="15-03-23 - 21-03-23"/>
          <s v="22-03-23 - 28-03-23"/>
          <s v="29-03-23 - 04-04-23"/>
          <s v="05-04-23 - 11-04-23"/>
          <s v="12-04-23 - 18-04-23"/>
          <s v="19-04-23 - 25-04-23"/>
          <s v="26-04-23 - 02-05-23"/>
          <s v="03-05-23 - 09-05-23"/>
          <s v="10-05-23 - 16-05-23"/>
          <s v="17-05-23 - 23-05-23"/>
          <s v="24-05-23 - 30-05-23"/>
          <s v="31-05-23 - 06-06-23"/>
          <s v="07-06-23 - 13-06-23"/>
          <s v="14-06-23 - 20-06-23"/>
          <s v="21-06-23 - 27-06-23"/>
          <s v="28-06-23 - 04-07-23"/>
          <s v="05-07-23 - 11-07-23"/>
          <s v="12-07-23 - 18-07-23"/>
          <s v="19-07-23 - 25-07-23"/>
          <s v="26-07-23 - 01-08-23"/>
          <s v="02-08-23 - 08-08-23"/>
          <s v="09-08-23 - 15-08-23"/>
          <s v="16-08-23 - 22-08-23"/>
          <s v="23-08-23 - 29-08-23"/>
          <s v="30-08-23 - 05-09-23"/>
          <s v="06-09-23 - 12-09-23"/>
          <s v="13-09-23 - 19-09-23"/>
          <s v="20-09-23 - 26-09-23"/>
          <s v="27-09-23 - 03-10-23"/>
          <s v="04-10-23 - 10-10-23"/>
          <s v="11-10-23 - 17-10-23"/>
          <s v="18-10-23 - 24-10-23"/>
          <s v="25-10-23 - 31-10-23"/>
          <s v="01-11-23 - 07-11-23"/>
          <s v="08-11-23 - 14-11-23"/>
          <s v="15-11-23 - 21-11-23"/>
          <s v="22-11-23 - 28-11-23"/>
          <s v="29-11-23 - 05-12-23"/>
          <s v="06-12-23 - 12-12-23"/>
          <s v="13-12-23 - 19-12-23"/>
          <s v="20-12-23 - 26-12-23"/>
          <s v="&gt;27-12-23"/>
        </groupItems>
      </fieldGroup>
    </cacheField>
    <cacheField name="Closing Stock" numFmtId="0">
      <sharedItems containsSemiMixedTypes="0" containsString="0" containsNumber="1" containsInteger="1" minValue="0" maxValue="239"/>
    </cacheField>
    <cacheField name="Stock Movement" numFmtId="0" formula="'Quantity Purchased'-'Quantity Sold'" databaseField="0"/>
  </cacheFields>
  <extLst>
    <ext xmlns:x14="http://schemas.microsoft.com/office/spreadsheetml/2009/9/main" uri="{725AE2AE-9491-48be-B2B4-4EB974FC3084}">
      <x14:pivotCacheDefinition pivotCacheId="129698459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5.492327662039" createdVersion="7" refreshedVersion="7" minRefreshableVersion="3" recordCount="30" xr:uid="{100000E9-FCD6-40F2-B543-05699FBC1220}">
  <cacheSource type="worksheet">
    <worksheetSource name="Table4"/>
  </cacheSource>
  <cacheFields count="6">
    <cacheField name="Department" numFmtId="0">
      <sharedItems count="4">
        <s v="IT"/>
        <s v="Admin"/>
        <s v="Operations"/>
        <s v="Marketing"/>
      </sharedItems>
    </cacheField>
    <cacheField name="Expense Category" numFmtId="0">
      <sharedItems count="4">
        <s v="Consulting"/>
        <s v="Travel"/>
        <s v="Supplies"/>
        <s v="Software"/>
      </sharedItems>
    </cacheField>
    <cacheField name="Expense Amount" numFmtId="0">
      <sharedItems containsSemiMixedTypes="0" containsString="0" containsNumber="1" containsInteger="1" minValue="1399" maxValue="9223"/>
    </cacheField>
    <cacheField name="Budget" numFmtId="0">
      <sharedItems containsSemiMixedTypes="0" containsString="0" containsNumber="1" containsInteger="1" minValue="5074" maxValue="14543"/>
    </cacheField>
    <cacheField name="Date" numFmtId="164">
      <sharedItems containsSemiMixedTypes="0" containsNonDate="0" containsDate="1" containsString="0" minDate="2023-01-15T00:00:00" maxDate="2023-12-21T00:00:00" count="29">
        <d v="2023-06-14T00:00:00"/>
        <d v="2023-07-04T00:00:00"/>
        <d v="2023-07-18T00:00:00"/>
        <d v="2023-12-20T00:00:00"/>
        <d v="2023-04-06T00:00:00"/>
        <d v="2023-04-18T00:00:00"/>
        <d v="2023-06-28T00:00:00"/>
        <d v="2023-11-30T00:00:00"/>
        <d v="2023-09-07T00:00:00"/>
        <d v="2023-01-15T00:00:00"/>
        <d v="2023-09-22T00:00:00"/>
        <d v="2023-08-02T00:00:00"/>
        <d v="2023-02-23T00:00:00"/>
        <d v="2023-08-14T00:00:00"/>
        <d v="2023-09-14T00:00:00"/>
        <d v="2023-11-03T00:00:00"/>
        <d v="2023-07-21T00:00:00"/>
        <d v="2023-10-11T00:00:00"/>
        <d v="2023-04-25T00:00:00"/>
        <d v="2023-07-23T00:00:00"/>
        <d v="2023-08-20T00:00:00"/>
        <d v="2023-05-20T00:00:00"/>
        <d v="2023-09-08T00:00:00"/>
        <d v="2023-03-18T00:00:00"/>
        <d v="2023-05-17T00:00:00"/>
        <d v="2023-11-29T00:00:00"/>
        <d v="2023-07-11T00:00:00"/>
        <d v="2023-12-17T00:00:00"/>
        <d v="2023-07-13T00:00:00"/>
      </sharedItems>
      <fieldGroup base="4">
        <rangePr groupBy="months" startDate="2023-01-15T00:00:00" endDate="2023-12-21T00:00:00"/>
        <groupItems count="14">
          <s v="&lt;15-01-23"/>
          <s v="Jan"/>
          <s v="Feb"/>
          <s v="Mar"/>
          <s v="Apr"/>
          <s v="May"/>
          <s v="Jun"/>
          <s v="Jul"/>
          <s v="Aug"/>
          <s v="Sep"/>
          <s v="Oct"/>
          <s v="Nov"/>
          <s v="Dec"/>
          <s v="&gt;21-12-23"/>
        </groupItems>
      </fieldGroup>
    </cacheField>
    <cacheField name="Project Name" numFmtId="0">
      <sharedItems count="4">
        <s v="Delta"/>
        <s v="Alpha"/>
        <s v="Gamma"/>
        <s v="Beta"/>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6.555874189813" createdVersion="7" refreshedVersion="7" minRefreshableVersion="3" recordCount="30" xr:uid="{2616AB27-A932-499A-821A-C7BABFBD355C}">
  <cacheSource type="worksheet">
    <worksheetSource name="Table5"/>
  </cacheSource>
  <cacheFields count="8">
    <cacheField name="Order ID" numFmtId="0">
      <sharedItems count="30">
        <s v="O1000"/>
        <s v="O1001"/>
        <s v="O1002"/>
        <s v="O1003"/>
        <s v="O1004"/>
        <s v="O1005"/>
        <s v="O1006"/>
        <s v="O1007"/>
        <s v="O1008"/>
        <s v="O1009"/>
        <s v="O1010"/>
        <s v="O1011"/>
        <s v="O1012"/>
        <s v="O1013"/>
        <s v="O1014"/>
        <s v="O1015"/>
        <s v="O1016"/>
        <s v="O1017"/>
        <s v="O1018"/>
        <s v="O1019"/>
        <s v="O1020"/>
        <s v="O1021"/>
        <s v="O1022"/>
        <s v="O1023"/>
        <s v="O1024"/>
        <s v="O1025"/>
        <s v="O1026"/>
        <s v="O1027"/>
        <s v="O1028"/>
        <s v="O1029"/>
      </sharedItems>
    </cacheField>
    <cacheField name="Customer Name" numFmtId="0">
      <sharedItems count="5">
        <s v="Adani"/>
        <s v="Tata"/>
        <s v="HUL"/>
        <s v="Reliance"/>
        <s v="Flipkart"/>
      </sharedItems>
    </cacheField>
    <cacheField name="Order Date" numFmtId="164">
      <sharedItems containsSemiMixedTypes="0" containsNonDate="0" containsDate="1" containsString="0" minDate="2023-02-01T00:00:00" maxDate="2023-11-24T00:00:00" count="30">
        <d v="2023-05-03T00:00:00"/>
        <d v="2023-05-19T00:00:00"/>
        <d v="2023-02-20T00:00:00"/>
        <d v="2023-10-01T00:00:00"/>
        <d v="2023-10-24T00:00:00"/>
        <d v="2023-11-08T00:00:00"/>
        <d v="2023-07-04T00:00:00"/>
        <d v="2023-08-05T00:00:00"/>
        <d v="2023-07-18T00:00:00"/>
        <d v="2023-09-30T00:00:00"/>
        <d v="2023-05-22T00:00:00"/>
        <d v="2023-10-08T00:00:00"/>
        <d v="2023-07-23T00:00:00"/>
        <d v="2023-09-13T00:00:00"/>
        <d v="2023-10-19T00:00:00"/>
        <d v="2023-03-21T00:00:00"/>
        <d v="2023-07-28T00:00:00"/>
        <d v="2023-02-01T00:00:00"/>
        <d v="2023-09-27T00:00:00"/>
        <d v="2023-11-23T00:00:00"/>
        <d v="2023-06-13T00:00:00"/>
        <d v="2023-04-23T00:00:00"/>
        <d v="2023-08-03T00:00:00"/>
        <d v="2023-05-25T00:00:00"/>
        <d v="2023-05-04T00:00:00"/>
        <d v="2023-10-12T00:00:00"/>
        <d v="2023-06-04T00:00:00"/>
        <d v="2023-02-25T00:00:00"/>
        <d v="2023-11-06T00:00:00"/>
        <d v="2023-11-20T00:00:00"/>
      </sharedItems>
      <fieldGroup base="2">
        <rangePr groupBy="months" startDate="2023-02-01T00:00:00" endDate="2023-11-24T00:00:00"/>
        <groupItems count="14">
          <s v="&lt;01-02-23"/>
          <s v="Jan"/>
          <s v="Feb"/>
          <s v="Mar"/>
          <s v="Apr"/>
          <s v="May"/>
          <s v="Jun"/>
          <s v="Jul"/>
          <s v="Aug"/>
          <s v="Sep"/>
          <s v="Oct"/>
          <s v="Nov"/>
          <s v="Dec"/>
          <s v="&gt;24-11-23"/>
        </groupItems>
      </fieldGroup>
    </cacheField>
    <cacheField name="Delivery Date" numFmtId="164">
      <sharedItems containsSemiMixedTypes="0" containsNonDate="0" containsDate="1" containsString="0" minDate="2023-02-02T00:00:00" maxDate="2023-12-02T00:00:00"/>
    </cacheField>
    <cacheField name="Product" numFmtId="0">
      <sharedItems count="4">
        <s v="Switch"/>
        <s v="Access Point"/>
        <s v="Router"/>
        <s v="Modem"/>
      </sharedItems>
    </cacheField>
    <cacheField name="Order Value" numFmtId="0">
      <sharedItems containsSemiMixedTypes="0" containsString="0" containsNumber="1" containsInteger="1" minValue="5730" maxValue="48063"/>
    </cacheField>
    <cacheField name="Delivery Status" numFmtId="0">
      <sharedItems count="2">
        <s v="On Time"/>
        <s v="Delayed"/>
      </sharedItems>
    </cacheField>
    <cacheField name="Delivery Duration (Days)"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1114770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12"/>
    <n v="809"/>
    <x v="0"/>
    <n v="1941.6"/>
  </r>
  <r>
    <x v="1"/>
    <x v="0"/>
    <x v="1"/>
    <x v="0"/>
    <n v="10"/>
    <n v="418"/>
    <x v="1"/>
    <n v="836"/>
  </r>
  <r>
    <x v="2"/>
    <x v="1"/>
    <x v="2"/>
    <x v="1"/>
    <n v="12"/>
    <n v="528"/>
    <x v="2"/>
    <n v="1267.2"/>
  </r>
  <r>
    <x v="3"/>
    <x v="2"/>
    <x v="3"/>
    <x v="2"/>
    <n v="10"/>
    <n v="761"/>
    <x v="3"/>
    <n v="1522"/>
  </r>
  <r>
    <x v="4"/>
    <x v="1"/>
    <x v="2"/>
    <x v="1"/>
    <n v="20"/>
    <n v="216"/>
    <x v="4"/>
    <n v="864"/>
  </r>
  <r>
    <x v="5"/>
    <x v="1"/>
    <x v="2"/>
    <x v="3"/>
    <n v="20"/>
    <n v="975"/>
    <x v="5"/>
    <n v="3900"/>
  </r>
  <r>
    <x v="6"/>
    <x v="2"/>
    <x v="1"/>
    <x v="0"/>
    <n v="14"/>
    <n v="779"/>
    <x v="6"/>
    <n v="2181.1999999999998"/>
  </r>
  <r>
    <x v="0"/>
    <x v="0"/>
    <x v="0"/>
    <x v="1"/>
    <n v="17"/>
    <n v="637"/>
    <x v="7"/>
    <n v="2165.8000000000002"/>
  </r>
  <r>
    <x v="7"/>
    <x v="2"/>
    <x v="2"/>
    <x v="3"/>
    <n v="19"/>
    <n v="877"/>
    <x v="8"/>
    <n v="3332.6"/>
  </r>
  <r>
    <x v="8"/>
    <x v="3"/>
    <x v="1"/>
    <x v="0"/>
    <n v="6"/>
    <n v="579"/>
    <x v="9"/>
    <n v="694.80000000000007"/>
  </r>
  <r>
    <x v="9"/>
    <x v="2"/>
    <x v="3"/>
    <x v="3"/>
    <n v="4"/>
    <n v="945"/>
    <x v="10"/>
    <n v="756"/>
  </r>
  <r>
    <x v="10"/>
    <x v="0"/>
    <x v="1"/>
    <x v="3"/>
    <n v="7"/>
    <n v="312"/>
    <x v="11"/>
    <n v="436.8"/>
  </r>
  <r>
    <x v="11"/>
    <x v="3"/>
    <x v="4"/>
    <x v="1"/>
    <n v="20"/>
    <n v="541"/>
    <x v="12"/>
    <n v="2164"/>
  </r>
  <r>
    <x v="12"/>
    <x v="3"/>
    <x v="0"/>
    <x v="4"/>
    <n v="20"/>
    <n v="566"/>
    <x v="13"/>
    <n v="2264"/>
  </r>
  <r>
    <x v="13"/>
    <x v="2"/>
    <x v="0"/>
    <x v="4"/>
    <n v="1"/>
    <n v="995"/>
    <x v="14"/>
    <n v="199"/>
  </r>
  <r>
    <x v="14"/>
    <x v="1"/>
    <x v="0"/>
    <x v="4"/>
    <n v="20"/>
    <n v="877"/>
    <x v="15"/>
    <n v="3508"/>
  </r>
  <r>
    <x v="15"/>
    <x v="2"/>
    <x v="1"/>
    <x v="0"/>
    <n v="4"/>
    <n v="545"/>
    <x v="16"/>
    <n v="436"/>
  </r>
  <r>
    <x v="12"/>
    <x v="3"/>
    <x v="4"/>
    <x v="3"/>
    <n v="1"/>
    <n v="970"/>
    <x v="17"/>
    <n v="194"/>
  </r>
  <r>
    <x v="16"/>
    <x v="0"/>
    <x v="3"/>
    <x v="2"/>
    <n v="10"/>
    <n v="267"/>
    <x v="18"/>
    <n v="534"/>
  </r>
  <r>
    <x v="17"/>
    <x v="2"/>
    <x v="2"/>
    <x v="4"/>
    <n v="17"/>
    <n v="318"/>
    <x v="19"/>
    <n v="1081.2"/>
  </r>
  <r>
    <x v="18"/>
    <x v="0"/>
    <x v="3"/>
    <x v="0"/>
    <n v="7"/>
    <n v="164"/>
    <x v="20"/>
    <n v="229.6"/>
  </r>
  <r>
    <x v="19"/>
    <x v="1"/>
    <x v="1"/>
    <x v="4"/>
    <n v="16"/>
    <n v="617"/>
    <x v="21"/>
    <n v="1974.4"/>
  </r>
  <r>
    <x v="20"/>
    <x v="1"/>
    <x v="2"/>
    <x v="0"/>
    <n v="13"/>
    <n v="281"/>
    <x v="22"/>
    <n v="730.6"/>
  </r>
  <r>
    <x v="21"/>
    <x v="1"/>
    <x v="2"/>
    <x v="4"/>
    <n v="13"/>
    <n v="895"/>
    <x v="23"/>
    <n v="2327"/>
  </r>
  <r>
    <x v="22"/>
    <x v="3"/>
    <x v="2"/>
    <x v="0"/>
    <n v="10"/>
    <n v="457"/>
    <x v="24"/>
    <n v="914"/>
  </r>
  <r>
    <x v="23"/>
    <x v="1"/>
    <x v="0"/>
    <x v="2"/>
    <n v="8"/>
    <n v="945"/>
    <x v="25"/>
    <n v="1512"/>
  </r>
  <r>
    <x v="24"/>
    <x v="1"/>
    <x v="2"/>
    <x v="3"/>
    <n v="9"/>
    <n v="873"/>
    <x v="26"/>
    <n v="1571.4"/>
  </r>
  <r>
    <x v="25"/>
    <x v="3"/>
    <x v="2"/>
    <x v="0"/>
    <n v="17"/>
    <n v="828"/>
    <x v="27"/>
    <n v="2815.2"/>
  </r>
  <r>
    <x v="26"/>
    <x v="2"/>
    <x v="2"/>
    <x v="3"/>
    <n v="16"/>
    <n v="515"/>
    <x v="28"/>
    <n v="1648"/>
  </r>
  <r>
    <x v="19"/>
    <x v="1"/>
    <x v="2"/>
    <x v="1"/>
    <n v="2"/>
    <n v="918"/>
    <x v="29"/>
    <n v="367.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n v="48"/>
    <d v="2023-01-30T00:00:00"/>
    <x v="0"/>
    <x v="0"/>
    <x v="0"/>
  </r>
  <r>
    <x v="1"/>
    <x v="1"/>
    <x v="0"/>
    <n v="44"/>
    <d v="2023-02-04T00:00:00"/>
    <x v="1"/>
    <x v="0"/>
    <x v="1"/>
  </r>
  <r>
    <x v="2"/>
    <x v="1"/>
    <x v="1"/>
    <n v="44"/>
    <d v="2021-12-04T00:00:00"/>
    <x v="2"/>
    <x v="1"/>
    <x v="2"/>
  </r>
  <r>
    <x v="3"/>
    <x v="0"/>
    <x v="1"/>
    <n v="23"/>
    <d v="2021-05-04T00:00:00"/>
    <x v="3"/>
    <x v="0"/>
    <x v="3"/>
  </r>
  <r>
    <x v="4"/>
    <x v="1"/>
    <x v="0"/>
    <n v="48"/>
    <d v="2022-03-28T00:00:00"/>
    <x v="2"/>
    <x v="1"/>
    <x v="4"/>
  </r>
  <r>
    <x v="5"/>
    <x v="1"/>
    <x v="0"/>
    <n v="36"/>
    <d v="2023-03-15T00:00:00"/>
    <x v="4"/>
    <x v="0"/>
    <x v="5"/>
  </r>
  <r>
    <x v="6"/>
    <x v="2"/>
    <x v="1"/>
    <n v="31"/>
    <d v="2023-03-18T00:00:00"/>
    <x v="5"/>
    <x v="0"/>
    <x v="6"/>
  </r>
  <r>
    <x v="7"/>
    <x v="0"/>
    <x v="1"/>
    <n v="39"/>
    <d v="2020-02-06T00:00:00"/>
    <x v="2"/>
    <x v="1"/>
    <x v="7"/>
  </r>
  <r>
    <x v="8"/>
    <x v="3"/>
    <x v="1"/>
    <n v="41"/>
    <d v="2021-07-18T00:00:00"/>
    <x v="6"/>
    <x v="0"/>
    <x v="8"/>
  </r>
  <r>
    <x v="9"/>
    <x v="2"/>
    <x v="1"/>
    <n v="33"/>
    <d v="2020-11-25T00:00:00"/>
    <x v="7"/>
    <x v="0"/>
    <x v="9"/>
  </r>
  <r>
    <x v="10"/>
    <x v="4"/>
    <x v="0"/>
    <n v="44"/>
    <d v="2023-12-19T00:00:00"/>
    <x v="8"/>
    <x v="0"/>
    <x v="10"/>
  </r>
  <r>
    <x v="11"/>
    <x v="2"/>
    <x v="1"/>
    <n v="39"/>
    <d v="2023-02-03T00:00:00"/>
    <x v="9"/>
    <x v="0"/>
    <x v="11"/>
  </r>
  <r>
    <x v="12"/>
    <x v="4"/>
    <x v="1"/>
    <n v="49"/>
    <d v="2021-01-31T00:00:00"/>
    <x v="10"/>
    <x v="0"/>
    <x v="12"/>
  </r>
  <r>
    <x v="13"/>
    <x v="1"/>
    <x v="1"/>
    <n v="34"/>
    <d v="2023-07-12T00:00:00"/>
    <x v="2"/>
    <x v="1"/>
    <x v="13"/>
  </r>
  <r>
    <x v="14"/>
    <x v="1"/>
    <x v="1"/>
    <n v="27"/>
    <d v="2021-04-13T00:00:00"/>
    <x v="2"/>
    <x v="1"/>
    <x v="14"/>
  </r>
  <r>
    <x v="15"/>
    <x v="2"/>
    <x v="0"/>
    <n v="44"/>
    <d v="2020-02-21T00:00:00"/>
    <x v="11"/>
    <x v="0"/>
    <x v="15"/>
  </r>
  <r>
    <x v="16"/>
    <x v="2"/>
    <x v="1"/>
    <n v="25"/>
    <d v="2022-08-03T00:00:00"/>
    <x v="12"/>
    <x v="0"/>
    <x v="16"/>
  </r>
  <r>
    <x v="17"/>
    <x v="3"/>
    <x v="0"/>
    <n v="33"/>
    <d v="2021-08-28T00:00:00"/>
    <x v="2"/>
    <x v="1"/>
    <x v="17"/>
  </r>
  <r>
    <x v="18"/>
    <x v="3"/>
    <x v="1"/>
    <n v="22"/>
    <d v="2020-01-22T00:00:00"/>
    <x v="13"/>
    <x v="0"/>
    <x v="18"/>
  </r>
  <r>
    <x v="19"/>
    <x v="3"/>
    <x v="0"/>
    <n v="24"/>
    <d v="2020-10-25T00:00:00"/>
    <x v="14"/>
    <x v="0"/>
    <x v="19"/>
  </r>
  <r>
    <x v="20"/>
    <x v="0"/>
    <x v="0"/>
    <n v="30"/>
    <d v="2022-03-04T00:00:00"/>
    <x v="2"/>
    <x v="1"/>
    <x v="20"/>
  </r>
  <r>
    <x v="21"/>
    <x v="1"/>
    <x v="1"/>
    <n v="29"/>
    <d v="2021-09-25T00:00:00"/>
    <x v="2"/>
    <x v="1"/>
    <x v="21"/>
  </r>
  <r>
    <x v="22"/>
    <x v="3"/>
    <x v="1"/>
    <n v="46"/>
    <d v="2022-12-03T00:00:00"/>
    <x v="15"/>
    <x v="0"/>
    <x v="22"/>
  </r>
  <r>
    <x v="23"/>
    <x v="4"/>
    <x v="0"/>
    <n v="31"/>
    <d v="2020-02-23T00:00:00"/>
    <x v="2"/>
    <x v="1"/>
    <x v="23"/>
  </r>
  <r>
    <x v="24"/>
    <x v="2"/>
    <x v="0"/>
    <n v="41"/>
    <d v="2023-10-09T00:00:00"/>
    <x v="16"/>
    <x v="0"/>
    <x v="24"/>
  </r>
  <r>
    <x v="25"/>
    <x v="4"/>
    <x v="1"/>
    <n v="41"/>
    <d v="2023-08-09T00:00:00"/>
    <x v="2"/>
    <x v="1"/>
    <x v="25"/>
  </r>
  <r>
    <x v="26"/>
    <x v="4"/>
    <x v="0"/>
    <n v="32"/>
    <d v="2022-02-09T00:00:00"/>
    <x v="17"/>
    <x v="0"/>
    <x v="26"/>
  </r>
  <r>
    <x v="27"/>
    <x v="2"/>
    <x v="1"/>
    <n v="37"/>
    <d v="2023-09-10T00:00:00"/>
    <x v="18"/>
    <x v="0"/>
    <x v="27"/>
  </r>
  <r>
    <x v="28"/>
    <x v="4"/>
    <x v="0"/>
    <n v="41"/>
    <d v="2022-06-27T00:00:00"/>
    <x v="19"/>
    <x v="0"/>
    <x v="28"/>
  </r>
  <r>
    <x v="29"/>
    <x v="2"/>
    <x v="1"/>
    <n v="28"/>
    <d v="2023-10-11T00:00:00"/>
    <x v="20"/>
    <x v="0"/>
    <x v="2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P100"/>
    <x v="0"/>
    <x v="0"/>
    <n v="120"/>
    <n v="80"/>
    <n v="84"/>
    <x v="0"/>
    <n v="124"/>
  </r>
  <r>
    <s v="P101"/>
    <x v="1"/>
    <x v="1"/>
    <n v="132"/>
    <n v="54"/>
    <n v="28"/>
    <x v="1"/>
    <n v="106"/>
  </r>
  <r>
    <s v="P102"/>
    <x v="0"/>
    <x v="0"/>
    <n v="54"/>
    <n v="79"/>
    <n v="25"/>
    <x v="2"/>
    <n v="0"/>
  </r>
  <r>
    <s v="P103"/>
    <x v="0"/>
    <x v="2"/>
    <n v="184"/>
    <n v="75"/>
    <n v="81"/>
    <x v="3"/>
    <n v="190"/>
  </r>
  <r>
    <s v="P104"/>
    <x v="2"/>
    <x v="0"/>
    <n v="100"/>
    <n v="44"/>
    <n v="29"/>
    <x v="4"/>
    <n v="85"/>
  </r>
  <r>
    <s v="P105"/>
    <x v="1"/>
    <x v="1"/>
    <n v="163"/>
    <n v="67"/>
    <n v="63"/>
    <x v="5"/>
    <n v="159"/>
  </r>
  <r>
    <s v="P106"/>
    <x v="2"/>
    <x v="0"/>
    <n v="196"/>
    <n v="64"/>
    <n v="44"/>
    <x v="6"/>
    <n v="176"/>
  </r>
  <r>
    <s v="P107"/>
    <x v="0"/>
    <x v="1"/>
    <n v="194"/>
    <n v="46"/>
    <n v="91"/>
    <x v="7"/>
    <n v="239"/>
  </r>
  <r>
    <s v="P108"/>
    <x v="2"/>
    <x v="0"/>
    <n v="95"/>
    <n v="15"/>
    <n v="49"/>
    <x v="8"/>
    <n v="129"/>
  </r>
  <r>
    <s v="P109"/>
    <x v="2"/>
    <x v="1"/>
    <n v="97"/>
    <n v="33"/>
    <n v="62"/>
    <x v="9"/>
    <n v="126"/>
  </r>
  <r>
    <s v="P110"/>
    <x v="2"/>
    <x v="1"/>
    <n v="177"/>
    <n v="63"/>
    <n v="67"/>
    <x v="10"/>
    <n v="181"/>
  </r>
  <r>
    <s v="P111"/>
    <x v="0"/>
    <x v="1"/>
    <n v="114"/>
    <n v="72"/>
    <n v="63"/>
    <x v="11"/>
    <n v="105"/>
  </r>
  <r>
    <s v="P112"/>
    <x v="1"/>
    <x v="1"/>
    <n v="122"/>
    <n v="55"/>
    <n v="68"/>
    <x v="12"/>
    <n v="135"/>
  </r>
  <r>
    <s v="P113"/>
    <x v="0"/>
    <x v="1"/>
    <n v="188"/>
    <n v="32"/>
    <n v="26"/>
    <x v="13"/>
    <n v="182"/>
  </r>
  <r>
    <s v="P114"/>
    <x v="0"/>
    <x v="0"/>
    <n v="181"/>
    <n v="66"/>
    <n v="50"/>
    <x v="14"/>
    <n v="165"/>
  </r>
  <r>
    <s v="P115"/>
    <x v="0"/>
    <x v="2"/>
    <n v="71"/>
    <n v="36"/>
    <n v="65"/>
    <x v="15"/>
    <n v="100"/>
  </r>
  <r>
    <s v="P116"/>
    <x v="0"/>
    <x v="2"/>
    <n v="106"/>
    <n v="10"/>
    <n v="25"/>
    <x v="16"/>
    <n v="121"/>
  </r>
  <r>
    <s v="P117"/>
    <x v="0"/>
    <x v="0"/>
    <n v="129"/>
    <n v="22"/>
    <n v="70"/>
    <x v="17"/>
    <n v="177"/>
  </r>
  <r>
    <s v="P118"/>
    <x v="0"/>
    <x v="0"/>
    <n v="170"/>
    <n v="56"/>
    <n v="21"/>
    <x v="18"/>
    <n v="135"/>
  </r>
  <r>
    <s v="P119"/>
    <x v="0"/>
    <x v="0"/>
    <n v="128"/>
    <n v="40"/>
    <n v="28"/>
    <x v="19"/>
    <n v="116"/>
  </r>
  <r>
    <s v="P120"/>
    <x v="2"/>
    <x v="0"/>
    <n v="56"/>
    <n v="46"/>
    <n v="66"/>
    <x v="20"/>
    <n v="76"/>
  </r>
  <r>
    <s v="P121"/>
    <x v="2"/>
    <x v="0"/>
    <n v="136"/>
    <n v="20"/>
    <n v="59"/>
    <x v="21"/>
    <n v="175"/>
  </r>
  <r>
    <s v="P122"/>
    <x v="0"/>
    <x v="1"/>
    <n v="68"/>
    <n v="56"/>
    <n v="70"/>
    <x v="22"/>
    <n v="82"/>
  </r>
  <r>
    <s v="P123"/>
    <x v="1"/>
    <x v="2"/>
    <n v="165"/>
    <n v="68"/>
    <n v="47"/>
    <x v="23"/>
    <n v="144"/>
  </r>
  <r>
    <s v="P124"/>
    <x v="2"/>
    <x v="1"/>
    <n v="71"/>
    <n v="68"/>
    <n v="57"/>
    <x v="24"/>
    <n v="60"/>
  </r>
  <r>
    <s v="P125"/>
    <x v="2"/>
    <x v="2"/>
    <n v="56"/>
    <n v="70"/>
    <n v="75"/>
    <x v="25"/>
    <n v="61"/>
  </r>
  <r>
    <s v="P126"/>
    <x v="2"/>
    <x v="2"/>
    <n v="80"/>
    <n v="61"/>
    <n v="39"/>
    <x v="26"/>
    <n v="58"/>
  </r>
  <r>
    <s v="P127"/>
    <x v="1"/>
    <x v="1"/>
    <n v="70"/>
    <n v="68"/>
    <n v="46"/>
    <x v="27"/>
    <n v="48"/>
  </r>
  <r>
    <s v="P128"/>
    <x v="0"/>
    <x v="0"/>
    <n v="143"/>
    <n v="49"/>
    <n v="44"/>
    <x v="28"/>
    <n v="138"/>
  </r>
  <r>
    <s v="P129"/>
    <x v="2"/>
    <x v="2"/>
    <n v="168"/>
    <n v="29"/>
    <n v="77"/>
    <x v="29"/>
    <n v="21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3707"/>
    <n v="5413"/>
    <x v="0"/>
    <x v="0"/>
  </r>
  <r>
    <x v="1"/>
    <x v="1"/>
    <n v="8341"/>
    <n v="10963"/>
    <x v="1"/>
    <x v="1"/>
  </r>
  <r>
    <x v="2"/>
    <x v="2"/>
    <n v="8733"/>
    <n v="8992"/>
    <x v="2"/>
    <x v="2"/>
  </r>
  <r>
    <x v="2"/>
    <x v="3"/>
    <n v="1403"/>
    <n v="7501"/>
    <x v="3"/>
    <x v="0"/>
  </r>
  <r>
    <x v="1"/>
    <x v="3"/>
    <n v="5713"/>
    <n v="11398"/>
    <x v="4"/>
    <x v="0"/>
  </r>
  <r>
    <x v="2"/>
    <x v="0"/>
    <n v="9223"/>
    <n v="13529"/>
    <x v="5"/>
    <x v="3"/>
  </r>
  <r>
    <x v="1"/>
    <x v="1"/>
    <n v="2901"/>
    <n v="12206"/>
    <x v="6"/>
    <x v="1"/>
  </r>
  <r>
    <x v="1"/>
    <x v="2"/>
    <n v="2121"/>
    <n v="11558"/>
    <x v="7"/>
    <x v="1"/>
  </r>
  <r>
    <x v="0"/>
    <x v="2"/>
    <n v="4478"/>
    <n v="12258"/>
    <x v="8"/>
    <x v="3"/>
  </r>
  <r>
    <x v="0"/>
    <x v="1"/>
    <n v="3137"/>
    <n v="10509"/>
    <x v="9"/>
    <x v="3"/>
  </r>
  <r>
    <x v="2"/>
    <x v="3"/>
    <n v="3272"/>
    <n v="11154"/>
    <x v="10"/>
    <x v="1"/>
  </r>
  <r>
    <x v="0"/>
    <x v="3"/>
    <n v="7552"/>
    <n v="5819"/>
    <x v="11"/>
    <x v="2"/>
  </r>
  <r>
    <x v="1"/>
    <x v="1"/>
    <n v="1399"/>
    <n v="5098"/>
    <x v="12"/>
    <x v="3"/>
  </r>
  <r>
    <x v="0"/>
    <x v="2"/>
    <n v="9009"/>
    <n v="8963"/>
    <x v="13"/>
    <x v="1"/>
  </r>
  <r>
    <x v="0"/>
    <x v="0"/>
    <n v="8645"/>
    <n v="8210"/>
    <x v="14"/>
    <x v="0"/>
  </r>
  <r>
    <x v="3"/>
    <x v="3"/>
    <n v="2694"/>
    <n v="7831"/>
    <x v="15"/>
    <x v="2"/>
  </r>
  <r>
    <x v="1"/>
    <x v="3"/>
    <n v="3568"/>
    <n v="6065"/>
    <x v="16"/>
    <x v="0"/>
  </r>
  <r>
    <x v="2"/>
    <x v="1"/>
    <n v="7045"/>
    <n v="14543"/>
    <x v="17"/>
    <x v="2"/>
  </r>
  <r>
    <x v="0"/>
    <x v="0"/>
    <n v="3754"/>
    <n v="13533"/>
    <x v="18"/>
    <x v="3"/>
  </r>
  <r>
    <x v="1"/>
    <x v="1"/>
    <n v="6762"/>
    <n v="5074"/>
    <x v="19"/>
    <x v="3"/>
  </r>
  <r>
    <x v="1"/>
    <x v="1"/>
    <n v="5297"/>
    <n v="10525"/>
    <x v="20"/>
    <x v="0"/>
  </r>
  <r>
    <x v="3"/>
    <x v="3"/>
    <n v="3504"/>
    <n v="5695"/>
    <x v="21"/>
    <x v="3"/>
  </r>
  <r>
    <x v="1"/>
    <x v="2"/>
    <n v="6705"/>
    <n v="8911"/>
    <x v="22"/>
    <x v="0"/>
  </r>
  <r>
    <x v="3"/>
    <x v="2"/>
    <n v="5364"/>
    <n v="8292"/>
    <x v="3"/>
    <x v="3"/>
  </r>
  <r>
    <x v="2"/>
    <x v="1"/>
    <n v="2771"/>
    <n v="14172"/>
    <x v="23"/>
    <x v="1"/>
  </r>
  <r>
    <x v="1"/>
    <x v="2"/>
    <n v="3886"/>
    <n v="5220"/>
    <x v="24"/>
    <x v="1"/>
  </r>
  <r>
    <x v="1"/>
    <x v="1"/>
    <n v="7567"/>
    <n v="13183"/>
    <x v="25"/>
    <x v="0"/>
  </r>
  <r>
    <x v="0"/>
    <x v="1"/>
    <n v="4229"/>
    <n v="7593"/>
    <x v="26"/>
    <x v="3"/>
  </r>
  <r>
    <x v="0"/>
    <x v="2"/>
    <n v="3656"/>
    <n v="14541"/>
    <x v="27"/>
    <x v="1"/>
  </r>
  <r>
    <x v="2"/>
    <x v="1"/>
    <n v="8425"/>
    <n v="12388"/>
    <x v="28"/>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d v="2023-05-10T00:00:00"/>
    <x v="0"/>
    <n v="6604"/>
    <x v="0"/>
    <n v="7"/>
  </r>
  <r>
    <x v="1"/>
    <x v="0"/>
    <x v="1"/>
    <d v="2023-05-20T00:00:00"/>
    <x v="1"/>
    <n v="32671"/>
    <x v="0"/>
    <n v="1"/>
  </r>
  <r>
    <x v="2"/>
    <x v="1"/>
    <x v="2"/>
    <d v="2023-02-26T00:00:00"/>
    <x v="1"/>
    <n v="38799"/>
    <x v="0"/>
    <n v="6"/>
  </r>
  <r>
    <x v="3"/>
    <x v="2"/>
    <x v="3"/>
    <d v="2023-10-04T00:00:00"/>
    <x v="2"/>
    <n v="40016"/>
    <x v="0"/>
    <n v="3"/>
  </r>
  <r>
    <x v="4"/>
    <x v="2"/>
    <x v="4"/>
    <d v="2023-11-03T00:00:00"/>
    <x v="1"/>
    <n v="15591"/>
    <x v="1"/>
    <n v="10"/>
  </r>
  <r>
    <x v="5"/>
    <x v="3"/>
    <x v="5"/>
    <d v="2023-11-13T00:00:00"/>
    <x v="3"/>
    <n v="6929"/>
    <x v="1"/>
    <n v="5"/>
  </r>
  <r>
    <x v="6"/>
    <x v="1"/>
    <x v="6"/>
    <d v="2023-07-13T00:00:00"/>
    <x v="1"/>
    <n v="32236"/>
    <x v="0"/>
    <n v="9"/>
  </r>
  <r>
    <x v="7"/>
    <x v="1"/>
    <x v="7"/>
    <d v="2023-08-15T00:00:00"/>
    <x v="0"/>
    <n v="7082"/>
    <x v="0"/>
    <n v="10"/>
  </r>
  <r>
    <x v="8"/>
    <x v="3"/>
    <x v="8"/>
    <d v="2023-07-25T00:00:00"/>
    <x v="0"/>
    <n v="40232"/>
    <x v="0"/>
    <n v="7"/>
  </r>
  <r>
    <x v="9"/>
    <x v="0"/>
    <x v="9"/>
    <d v="2023-10-07T00:00:00"/>
    <x v="2"/>
    <n v="34502"/>
    <x v="0"/>
    <n v="7"/>
  </r>
  <r>
    <x v="10"/>
    <x v="1"/>
    <x v="10"/>
    <d v="2023-05-24T00:00:00"/>
    <x v="3"/>
    <n v="22818"/>
    <x v="1"/>
    <n v="2"/>
  </r>
  <r>
    <x v="11"/>
    <x v="2"/>
    <x v="11"/>
    <d v="2023-10-18T00:00:00"/>
    <x v="2"/>
    <n v="45236"/>
    <x v="1"/>
    <n v="10"/>
  </r>
  <r>
    <x v="12"/>
    <x v="3"/>
    <x v="12"/>
    <d v="2023-07-30T00:00:00"/>
    <x v="3"/>
    <n v="47188"/>
    <x v="0"/>
    <n v="7"/>
  </r>
  <r>
    <x v="13"/>
    <x v="2"/>
    <x v="13"/>
    <d v="2023-09-19T00:00:00"/>
    <x v="3"/>
    <n v="40135"/>
    <x v="1"/>
    <n v="6"/>
  </r>
  <r>
    <x v="14"/>
    <x v="4"/>
    <x v="14"/>
    <d v="2023-10-22T00:00:00"/>
    <x v="1"/>
    <n v="36682"/>
    <x v="1"/>
    <n v="3"/>
  </r>
  <r>
    <x v="15"/>
    <x v="2"/>
    <x v="15"/>
    <d v="2023-03-28T00:00:00"/>
    <x v="0"/>
    <n v="14341"/>
    <x v="1"/>
    <n v="7"/>
  </r>
  <r>
    <x v="16"/>
    <x v="4"/>
    <x v="16"/>
    <d v="2023-08-03T00:00:00"/>
    <x v="3"/>
    <n v="20862"/>
    <x v="1"/>
    <n v="6"/>
  </r>
  <r>
    <x v="17"/>
    <x v="2"/>
    <x v="17"/>
    <d v="2023-02-02T00:00:00"/>
    <x v="1"/>
    <n v="46396"/>
    <x v="0"/>
    <n v="1"/>
  </r>
  <r>
    <x v="18"/>
    <x v="1"/>
    <x v="18"/>
    <d v="2023-09-28T00:00:00"/>
    <x v="1"/>
    <n v="13146"/>
    <x v="1"/>
    <n v="1"/>
  </r>
  <r>
    <x v="19"/>
    <x v="4"/>
    <x v="19"/>
    <d v="2023-12-01T00:00:00"/>
    <x v="0"/>
    <n v="30201"/>
    <x v="0"/>
    <n v="8"/>
  </r>
  <r>
    <x v="20"/>
    <x v="4"/>
    <x v="20"/>
    <d v="2023-06-19T00:00:00"/>
    <x v="1"/>
    <n v="14442"/>
    <x v="1"/>
    <n v="6"/>
  </r>
  <r>
    <x v="21"/>
    <x v="0"/>
    <x v="21"/>
    <d v="2023-05-03T00:00:00"/>
    <x v="0"/>
    <n v="43861"/>
    <x v="0"/>
    <n v="10"/>
  </r>
  <r>
    <x v="22"/>
    <x v="2"/>
    <x v="22"/>
    <d v="2023-08-10T00:00:00"/>
    <x v="1"/>
    <n v="8349"/>
    <x v="1"/>
    <n v="7"/>
  </r>
  <r>
    <x v="23"/>
    <x v="1"/>
    <x v="23"/>
    <d v="2023-05-26T00:00:00"/>
    <x v="2"/>
    <n v="5730"/>
    <x v="0"/>
    <n v="1"/>
  </r>
  <r>
    <x v="24"/>
    <x v="2"/>
    <x v="24"/>
    <d v="2023-05-11T00:00:00"/>
    <x v="0"/>
    <n v="48063"/>
    <x v="1"/>
    <n v="7"/>
  </r>
  <r>
    <x v="25"/>
    <x v="0"/>
    <x v="25"/>
    <d v="2023-10-14T00:00:00"/>
    <x v="0"/>
    <n v="12868"/>
    <x v="0"/>
    <n v="2"/>
  </r>
  <r>
    <x v="26"/>
    <x v="3"/>
    <x v="26"/>
    <d v="2023-06-13T00:00:00"/>
    <x v="1"/>
    <n v="31361"/>
    <x v="0"/>
    <n v="9"/>
  </r>
  <r>
    <x v="27"/>
    <x v="1"/>
    <x v="27"/>
    <d v="2023-03-03T00:00:00"/>
    <x v="0"/>
    <n v="5861"/>
    <x v="1"/>
    <n v="6"/>
  </r>
  <r>
    <x v="28"/>
    <x v="4"/>
    <x v="28"/>
    <d v="2023-11-15T00:00:00"/>
    <x v="3"/>
    <n v="30084"/>
    <x v="0"/>
    <n v="9"/>
  </r>
  <r>
    <x v="29"/>
    <x v="2"/>
    <x v="29"/>
    <d v="2023-11-23T00:00:00"/>
    <x v="3"/>
    <n v="13255"/>
    <x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48B331-1C2F-4C23-8D11-48AB4C9AC73A}"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6:B41"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3"/>
        <item x="2"/>
        <item x="1"/>
        <item x="0"/>
        <item t="default"/>
      </items>
    </pivotField>
    <pivotField showAll="0"/>
    <pivotField showAll="0">
      <items count="6">
        <item x="2"/>
        <item x="3"/>
        <item x="4"/>
        <item x="1"/>
        <item x="0"/>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ECA744-3DAC-4BD8-96E4-FF998E6684C1}"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53:F59"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measureFilter="1">
      <items count="31">
        <item x="17"/>
        <item x="14"/>
        <item x="20"/>
        <item x="29"/>
        <item x="16"/>
        <item x="11"/>
        <item x="18"/>
        <item x="9"/>
        <item x="22"/>
        <item x="10"/>
        <item x="1"/>
        <item x="4"/>
        <item x="24"/>
        <item x="19"/>
        <item x="2"/>
        <item x="25"/>
        <item x="3"/>
        <item x="26"/>
        <item x="28"/>
        <item x="0"/>
        <item x="21"/>
        <item x="12"/>
        <item x="7"/>
        <item x="6"/>
        <item x="13"/>
        <item x="23"/>
        <item x="27"/>
        <item x="8"/>
        <item x="15"/>
        <item x="5"/>
        <item t="default"/>
      </items>
    </pivotField>
    <pivotField showAll="0"/>
    <pivotField showAll="0">
      <items count="15">
        <item x="0"/>
        <item x="1"/>
        <item x="2"/>
        <item x="3"/>
        <item x="4"/>
        <item x="5"/>
        <item x="6"/>
        <item x="7"/>
        <item x="8"/>
        <item x="9"/>
        <item x="10"/>
        <item x="11"/>
        <item x="12"/>
        <item x="13"/>
        <item t="default"/>
      </items>
    </pivotField>
  </pivotFields>
  <rowFields count="1">
    <field x="2"/>
  </rowFields>
  <rowItems count="6">
    <i>
      <x v="4"/>
    </i>
    <i>
      <x v="1"/>
    </i>
    <i>
      <x/>
    </i>
    <i>
      <x v="3"/>
    </i>
    <i>
      <x v="2"/>
    </i>
    <i t="grand">
      <x/>
    </i>
  </rowItems>
  <colItems count="1">
    <i/>
  </colItems>
  <dataFields count="1">
    <dataField name="Sum of Revenue" fld="6" baseField="0" baseItem="0"/>
  </dataField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BCA58F-D967-4C6A-AE97-69B09D1E5FB8}" name="PivotTable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45:F51"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showAll="0">
      <items count="6">
        <item x="1"/>
        <item x="0"/>
        <item x="4"/>
        <item x="3"/>
        <item x="2"/>
        <item t="default"/>
      </items>
    </pivotField>
    <pivotField axis="axisRow" showAll="0" sortType="descending">
      <items count="6">
        <item x="2"/>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measureFilter="1">
      <items count="31">
        <item x="17"/>
        <item x="14"/>
        <item x="20"/>
        <item x="29"/>
        <item x="16"/>
        <item x="11"/>
        <item x="18"/>
        <item x="9"/>
        <item x="22"/>
        <item x="10"/>
        <item x="1"/>
        <item x="4"/>
        <item x="24"/>
        <item x="19"/>
        <item x="2"/>
        <item x="25"/>
        <item x="3"/>
        <item x="26"/>
        <item x="28"/>
        <item x="0"/>
        <item x="21"/>
        <item x="12"/>
        <item x="7"/>
        <item x="6"/>
        <item x="13"/>
        <item x="23"/>
        <item x="27"/>
        <item x="8"/>
        <item x="15"/>
        <item x="5"/>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6">
    <i>
      <x v="1"/>
    </i>
    <i>
      <x v="2"/>
    </i>
    <i>
      <x v="4"/>
    </i>
    <i>
      <x v="3"/>
    </i>
    <i>
      <x/>
    </i>
    <i t="grand">
      <x/>
    </i>
  </rowItems>
  <colItems count="1">
    <i/>
  </colItems>
  <dataFields count="1">
    <dataField name="Sum of Revenue" fld="6" baseField="0" baseItem="0"/>
  </dataField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69F8B0-3AF2-4EBE-9468-9BA091B86467}" name="PivotTable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5:B58" firstHeaderRow="1"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showAll="0">
      <items count="6">
        <item x="1"/>
        <item x="0"/>
        <item x="4"/>
        <item x="3"/>
        <item x="2"/>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Units Sold" fld="4" baseField="0" baseItem="0"/>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303707-A395-42E0-BDA5-8B30DAFA4FDA}"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36:G42" firstHeaderRow="0" firstDataRow="1" firstDataCol="1"/>
  <pivotFields count="9">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3"/>
        <item x="2"/>
        <item x="1"/>
        <item x="0"/>
        <item t="default"/>
      </items>
    </pivotField>
    <pivotField axis="axisRow" showAll="0">
      <items count="6">
        <item x="1"/>
        <item x="0"/>
        <item x="4"/>
        <item x="3"/>
        <item x="2"/>
        <item t="default"/>
      </items>
    </pivotField>
    <pivotField showAll="0">
      <items count="6">
        <item x="2"/>
        <item x="3"/>
        <item x="4"/>
        <item x="1"/>
        <item x="0"/>
        <item t="default"/>
      </items>
    </pivotField>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Sum of Revenue" fld="6" baseField="0" baseItem="0"/>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BC0FDC-CB9A-4D57-8601-40C4917CE0D2}"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5:B40" firstHeaderRow="1" firstDataRow="1" firstDataCol="1" rowPageCount="1" colPageCount="1"/>
  <pivotFields count="8">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0"/>
        <item x="1"/>
        <item x="3"/>
        <item x="4"/>
        <item t="default"/>
      </items>
    </pivotField>
    <pivotField showAll="0"/>
    <pivotField showAll="0"/>
    <pivotField numFmtId="164" showAll="0"/>
    <pivotField showAll="0">
      <items count="9">
        <item x="0"/>
        <item x="1"/>
        <item x="2"/>
        <item x="3"/>
        <item x="4"/>
        <item x="5"/>
        <item x="6"/>
        <item x="7"/>
        <item t="default"/>
      </items>
    </pivotField>
    <pivotField axis="axisPage" multipleItemSelectionAllowed="1" showAll="0">
      <items count="3">
        <item x="1"/>
        <item h="1" x="0"/>
        <item t="default"/>
      </items>
    </pivotField>
    <pivotField showAll="0"/>
  </pivotFields>
  <rowFields count="1">
    <field x="1"/>
  </rowFields>
  <rowItems count="5">
    <i>
      <x v="1"/>
    </i>
    <i>
      <x v="2"/>
    </i>
    <i>
      <x v="3"/>
    </i>
    <i>
      <x v="4"/>
    </i>
    <i t="grand">
      <x/>
    </i>
  </rowItems>
  <colItems count="1">
    <i/>
  </colItems>
  <pageFields count="1">
    <pageField fld="6" hier="-1"/>
  </pageField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8F7D12-099D-4191-94EF-02023C906F0E}"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4:B67" firstHeaderRow="1" firstDataRow="1" firstDataCol="1"/>
  <pivotFields count="8">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2"/>
        <item x="0"/>
        <item x="1"/>
        <item x="3"/>
        <item x="4"/>
        <item t="default"/>
      </items>
    </pivotField>
    <pivotField axis="axisRow" showAll="0">
      <items count="3">
        <item x="0"/>
        <item x="1"/>
        <item t="default"/>
      </items>
    </pivotField>
    <pivotField showAll="0"/>
    <pivotField numFmtId="164" showAll="0"/>
    <pivotField showAll="0">
      <items count="9">
        <item x="0"/>
        <item x="1"/>
        <item x="2"/>
        <item x="3"/>
        <item x="4"/>
        <item x="5"/>
        <item x="6"/>
        <item x="7"/>
        <item t="default"/>
      </items>
    </pivotField>
    <pivotField multipleItemSelectionAllowed="1" showAll="0">
      <items count="3">
        <item x="1"/>
        <item h="1" x="0"/>
        <item t="default"/>
      </items>
    </pivotField>
    <pivotField showAll="0"/>
  </pivotFields>
  <rowFields count="1">
    <field x="2"/>
  </rowFields>
  <rowItems count="3">
    <i>
      <x/>
    </i>
    <i>
      <x v="1"/>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47D67E-B4C6-4A76-B0A9-F2A098A0DF6C}"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D35:G42" firstHeaderRow="1" firstDataRow="2" firstDataCol="1"/>
  <pivotFields count="8">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0"/>
        <item x="1"/>
        <item x="3"/>
        <item x="4"/>
        <item t="default"/>
      </items>
    </pivotField>
    <pivotField axis="axisCol" showAll="0">
      <items count="3">
        <item x="0"/>
        <item x="1"/>
        <item t="default"/>
      </items>
    </pivotField>
    <pivotField showAll="0"/>
    <pivotField numFmtId="164" showAll="0"/>
    <pivotField dataField="1" showAll="0">
      <items count="9">
        <item x="0"/>
        <item x="1"/>
        <item x="2"/>
        <item x="3"/>
        <item x="4"/>
        <item x="5"/>
        <item x="6"/>
        <item x="7"/>
        <item t="default"/>
      </items>
    </pivotField>
    <pivotField multipleItemSelectionAllowed="1" showAll="0">
      <items count="3">
        <item x="1"/>
        <item h="1" x="0"/>
        <item t="default"/>
      </items>
    </pivotField>
    <pivotField showAll="0"/>
  </pivotFields>
  <rowFields count="1">
    <field x="1"/>
  </rowFields>
  <rowItems count="6">
    <i>
      <x/>
    </i>
    <i>
      <x v="1"/>
    </i>
    <i>
      <x v="2"/>
    </i>
    <i>
      <x v="3"/>
    </i>
    <i>
      <x v="4"/>
    </i>
    <i t="grand">
      <x/>
    </i>
  </rowItems>
  <colFields count="1">
    <field x="2"/>
  </colFields>
  <colItems count="3">
    <i>
      <x/>
    </i>
    <i>
      <x v="1"/>
    </i>
    <i t="grand">
      <x/>
    </i>
  </colItems>
  <dataFields count="1">
    <dataField name="Count of Exit Date" fld="5"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F4797E-9E0C-4D66-A8E8-611BA4C8F2CA}"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3:F114" firstHeaderRow="1" firstDataRow="1" firstDataCol="1"/>
  <pivotFields count="8">
    <pivotField axis="axisRow"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2"/>
        <item x="0"/>
        <item x="1"/>
        <item x="3"/>
        <item x="4"/>
        <item t="default"/>
      </items>
    </pivotField>
    <pivotField showAll="0"/>
    <pivotField showAll="0"/>
    <pivotField numFmtId="164" showAll="0"/>
    <pivotField axis="axisRow" showAll="0">
      <items count="9">
        <item x="0"/>
        <item x="1"/>
        <item x="2"/>
        <item x="3"/>
        <item x="4"/>
        <item x="5"/>
        <item x="6"/>
        <item x="7"/>
        <item t="default"/>
      </items>
    </pivotField>
    <pivotField multipleItemSelectionAllowed="1" showAll="0">
      <items count="3">
        <item x="1"/>
        <item h="1" x="0"/>
        <item t="default"/>
      </items>
    </pivotField>
    <pivotField showAll="0"/>
  </pivotFields>
  <rowFields count="2">
    <field x="0"/>
    <field x="5"/>
  </rowFields>
  <rowItems count="61">
    <i>
      <x/>
    </i>
    <i r="1">
      <x v="4"/>
    </i>
    <i>
      <x v="1"/>
    </i>
    <i r="1">
      <x v="4"/>
    </i>
    <i>
      <x v="2"/>
    </i>
    <i r="1">
      <x/>
    </i>
    <i>
      <x v="3"/>
    </i>
    <i r="1">
      <x v="3"/>
    </i>
    <i>
      <x v="4"/>
    </i>
    <i r="1">
      <x/>
    </i>
    <i>
      <x v="5"/>
    </i>
    <i r="1">
      <x v="4"/>
    </i>
    <i>
      <x v="6"/>
    </i>
    <i r="1">
      <x v="5"/>
    </i>
    <i>
      <x v="7"/>
    </i>
    <i r="1">
      <x/>
    </i>
    <i>
      <x v="8"/>
    </i>
    <i r="1">
      <x v="3"/>
    </i>
    <i>
      <x v="9"/>
    </i>
    <i r="1">
      <x v="1"/>
    </i>
    <i>
      <x v="10"/>
    </i>
    <i r="1">
      <x v="5"/>
    </i>
    <i>
      <x v="11"/>
    </i>
    <i r="1">
      <x v="4"/>
    </i>
    <i>
      <x v="12"/>
    </i>
    <i r="1">
      <x v="1"/>
    </i>
    <i>
      <x v="13"/>
    </i>
    <i r="1">
      <x/>
    </i>
    <i>
      <x v="14"/>
    </i>
    <i r="1">
      <x/>
    </i>
    <i>
      <x v="15"/>
    </i>
    <i r="1">
      <x v="1"/>
    </i>
    <i>
      <x v="16"/>
    </i>
    <i r="1">
      <x v="3"/>
    </i>
    <i>
      <x v="17"/>
    </i>
    <i r="1">
      <x/>
    </i>
    <i>
      <x v="18"/>
    </i>
    <i r="1">
      <x v="2"/>
    </i>
    <i>
      <x v="19"/>
    </i>
    <i r="1">
      <x v="1"/>
    </i>
    <i>
      <x v="20"/>
    </i>
    <i r="1">
      <x/>
    </i>
    <i>
      <x v="21"/>
    </i>
    <i r="1">
      <x/>
    </i>
    <i>
      <x v="22"/>
    </i>
    <i r="1">
      <x v="3"/>
    </i>
    <i>
      <x v="23"/>
    </i>
    <i r="1">
      <x/>
    </i>
    <i>
      <x v="24"/>
    </i>
    <i r="1">
      <x v="4"/>
    </i>
    <i>
      <x v="25"/>
    </i>
    <i r="1">
      <x/>
    </i>
    <i>
      <x v="26"/>
    </i>
    <i r="1">
      <x v="4"/>
    </i>
    <i>
      <x v="27"/>
    </i>
    <i r="1">
      <x v="5"/>
    </i>
    <i>
      <x v="28"/>
    </i>
    <i r="1">
      <x v="3"/>
    </i>
    <i>
      <x v="29"/>
    </i>
    <i r="1">
      <x v="6"/>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F7D1C-8E7A-4530-841F-DE663A87C789}"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3:C59" firstHeaderRow="0" firstDataRow="1" firstDataCol="1"/>
  <pivotFields count="8">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2"/>
        <item x="0"/>
        <item x="1"/>
        <item x="3"/>
        <item x="4"/>
        <item t="default"/>
      </items>
    </pivotField>
    <pivotField showAll="0"/>
    <pivotField dataField="1" showAll="0"/>
    <pivotField numFmtId="164" showAll="0"/>
    <pivotField showAll="0">
      <items count="9">
        <item x="0"/>
        <item x="1"/>
        <item x="2"/>
        <item x="3"/>
        <item x="4"/>
        <item x="5"/>
        <item x="6"/>
        <item x="7"/>
        <item t="default"/>
      </items>
    </pivotField>
    <pivotField multipleItemSelectionAllowed="1" showAll="0">
      <items count="3">
        <item x="1"/>
        <item h="1" x="0"/>
        <item t="default"/>
      </items>
    </pivotField>
    <pivotField dataField="1" showAll="0"/>
  </pivotFields>
  <rowFields count="1">
    <field x="1"/>
  </rowFields>
  <rowItems count="6">
    <i>
      <x/>
    </i>
    <i>
      <x v="1"/>
    </i>
    <i>
      <x v="2"/>
    </i>
    <i>
      <x v="3"/>
    </i>
    <i>
      <x v="4"/>
    </i>
    <i t="grand">
      <x/>
    </i>
  </rowItems>
  <colFields count="1">
    <field x="-2"/>
  </colFields>
  <colItems count="2">
    <i>
      <x/>
    </i>
    <i i="1">
      <x v="1"/>
    </i>
  </colItems>
  <dataFields count="2">
    <dataField name="Average of Age" fld="3" subtotal="average" baseField="1" baseItem="0"/>
    <dataField name="Sum of Salar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CD277E-77AB-45D1-8C1E-B35765C539F6}" name="PivotTable2"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4:C68" firstHeaderRow="0" firstDataRow="1" firstDataCol="1"/>
  <pivotFields count="9">
    <pivotField showAll="0"/>
    <pivotField showAll="0">
      <items count="4">
        <item x="0"/>
        <item x="1"/>
        <item x="2"/>
        <item t="default"/>
      </items>
    </pivotField>
    <pivotField showAll="0">
      <items count="4">
        <item x="0"/>
        <item x="1"/>
        <item x="2"/>
        <item t="default"/>
      </items>
    </pivotField>
    <pivotField showAll="0"/>
    <pivotField dataField="1" showAll="0"/>
    <pivotField dataField="1" showAll="0"/>
    <pivotField axis="axisRow" numFmtId="16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dragToRow="0" dragToCol="0" dragToPage="0" showAll="0" defaultSubtotal="0"/>
  </pivotFields>
  <rowFields count="1">
    <field x="6"/>
  </rowFields>
  <rowItems count="24">
    <i>
      <x v="1"/>
    </i>
    <i>
      <x v="2"/>
    </i>
    <i>
      <x v="6"/>
    </i>
    <i>
      <x v="7"/>
    </i>
    <i>
      <x v="8"/>
    </i>
    <i>
      <x v="10"/>
    </i>
    <i>
      <x v="13"/>
    </i>
    <i>
      <x v="15"/>
    </i>
    <i>
      <x v="17"/>
    </i>
    <i>
      <x v="23"/>
    </i>
    <i>
      <x v="24"/>
    </i>
    <i>
      <x v="27"/>
    </i>
    <i>
      <x v="31"/>
    </i>
    <i>
      <x v="32"/>
    </i>
    <i>
      <x v="33"/>
    </i>
    <i>
      <x v="37"/>
    </i>
    <i>
      <x v="40"/>
    </i>
    <i>
      <x v="42"/>
    </i>
    <i>
      <x v="45"/>
    </i>
    <i>
      <x v="47"/>
    </i>
    <i>
      <x v="48"/>
    </i>
    <i>
      <x v="49"/>
    </i>
    <i>
      <x v="50"/>
    </i>
    <i t="grand">
      <x/>
    </i>
  </rowItems>
  <colFields count="1">
    <field x="-2"/>
  </colFields>
  <colItems count="2">
    <i>
      <x/>
    </i>
    <i i="1">
      <x v="1"/>
    </i>
  </colItems>
  <dataFields count="2">
    <dataField name="Sum of Quantity Purchased" fld="5" baseField="0" baseItem="0"/>
    <dataField name="Sum of Quantity Sold"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144A1B-71C9-4F0E-967B-AF1C652DF17B}" name="PivotTable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5:F39" firstHeaderRow="1" firstDataRow="1" firstDataCol="1"/>
  <pivotFields count="9">
    <pivotField showAll="0"/>
    <pivotField axis="axisRow" showAll="0">
      <items count="4">
        <item x="0"/>
        <item x="1"/>
        <item x="2"/>
        <item t="default"/>
      </items>
    </pivotField>
    <pivotField showAll="0">
      <items count="4">
        <item x="0"/>
        <item x="1"/>
        <item x="2"/>
        <item t="default"/>
      </items>
    </pivotField>
    <pivotField showAll="0"/>
    <pivotField showAll="0"/>
    <pivotField showAll="0"/>
    <pivotField numFmtId="16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showAll="0"/>
    <pivotField dragToRow="0" dragToCol="0" dragToPage="0" showAll="0" defaultSubtotal="0"/>
  </pivotFields>
  <rowFields count="1">
    <field x="1"/>
  </rowFields>
  <rowItems count="4">
    <i>
      <x/>
    </i>
    <i>
      <x v="1"/>
    </i>
    <i>
      <x v="2"/>
    </i>
    <i t="grand">
      <x/>
    </i>
  </rowItems>
  <colItems count="1">
    <i/>
  </colItems>
  <dataFields count="1">
    <dataField name="Sum of Closing Stock"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813F7D-8E97-433B-ACD1-48ECD8A7DBEE}" name="PivotTable7"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5:C39" firstHeaderRow="0" firstDataRow="1" firstDataCol="1"/>
  <pivotFields count="9">
    <pivotField showAll="0"/>
    <pivotField axis="axisRow" showAll="0">
      <items count="4">
        <item x="0"/>
        <item x="1"/>
        <item x="2"/>
        <item t="default"/>
      </items>
    </pivotField>
    <pivotField showAll="0">
      <items count="4">
        <item x="0"/>
        <item x="1"/>
        <item x="2"/>
        <item t="default"/>
      </items>
    </pivotField>
    <pivotField showAll="0"/>
    <pivotField dataField="1" showAll="0"/>
    <pivotField dataField="1" showAll="0"/>
    <pivotField numFmtId="16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dragToRow="0" dragToCol="0" dragToPage="0" showAll="0" defaultSubtotal="0"/>
  </pivotFields>
  <rowFields count="1">
    <field x="1"/>
  </rowFields>
  <rowItems count="4">
    <i>
      <x/>
    </i>
    <i>
      <x v="1"/>
    </i>
    <i>
      <x v="2"/>
    </i>
    <i t="grand">
      <x/>
    </i>
  </rowItems>
  <colFields count="1">
    <field x="-2"/>
  </colFields>
  <colItems count="2">
    <i>
      <x/>
    </i>
    <i i="1">
      <x v="1"/>
    </i>
  </colItems>
  <dataFields count="2">
    <dataField name="Sum of Quantity Purchased" fld="5" baseField="0" baseItem="0"/>
    <dataField name="Sum of Quantity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E62E14-AFAE-405A-A033-6CF4A81D0CB4}"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67:F68" firstHeaderRow="0" firstDataRow="1" firstDataCol="0"/>
  <pivotFields count="9">
    <pivotField showAll="0"/>
    <pivotField showAll="0">
      <items count="4">
        <item x="0"/>
        <item x="1"/>
        <item x="2"/>
        <item t="default"/>
      </items>
    </pivotField>
    <pivotField showAll="0">
      <items count="4">
        <item x="0"/>
        <item x="1"/>
        <item x="2"/>
        <item t="default"/>
      </items>
    </pivotField>
    <pivotField dataField="1" showAll="0"/>
    <pivotField showAll="0"/>
    <pivotField showAll="0"/>
    <pivotField numFmtId="16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showAll="0"/>
    <pivotField dragToRow="0" dragToCol="0" dragToPage="0" showAll="0" defaultSubtotal="0"/>
  </pivotFields>
  <rowItems count="1">
    <i/>
  </rowItems>
  <colFields count="1">
    <field x="-2"/>
  </colFields>
  <colItems count="2">
    <i>
      <x/>
    </i>
    <i i="1">
      <x v="1"/>
    </i>
  </colItems>
  <dataFields count="2">
    <dataField name="Sum of Opening Stock" fld="3" baseField="0" baseItem="0"/>
    <dataField name="Sum of Closing Stock"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9C86449-9AE1-40F4-A387-49EF6E752FF0}"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4:H58" firstHeaderRow="0" firstDataRow="1" firstDataCol="1"/>
  <pivotFields count="9">
    <pivotField showAll="0"/>
    <pivotField axis="axisRow" showAll="0">
      <items count="4">
        <item x="0"/>
        <item x="1"/>
        <item x="2"/>
        <item t="default"/>
      </items>
    </pivotField>
    <pivotField showAll="0">
      <items count="4">
        <item x="0"/>
        <item x="1"/>
        <item x="2"/>
        <item t="default"/>
      </items>
    </pivotField>
    <pivotField showAll="0"/>
    <pivotField dataField="1" showAll="0"/>
    <pivotField dataField="1" showAll="0"/>
    <pivotField numFmtId="16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dataField="1" dragToRow="0" dragToCol="0" dragToPage="0" showAll="0" defaultSubtotal="0"/>
  </pivotFields>
  <rowFields count="1">
    <field x="1"/>
  </rowFields>
  <rowItems count="4">
    <i>
      <x/>
    </i>
    <i>
      <x v="1"/>
    </i>
    <i>
      <x v="2"/>
    </i>
    <i t="grand">
      <x/>
    </i>
  </rowItems>
  <colFields count="1">
    <field x="-2"/>
  </colFields>
  <colItems count="3">
    <i>
      <x/>
    </i>
    <i i="1">
      <x v="1"/>
    </i>
    <i i="2">
      <x v="2"/>
    </i>
  </colItems>
  <dataFields count="3">
    <dataField name="Sum of Quantity Purchased" fld="5" baseField="0" baseItem="0"/>
    <dataField name="Sum of Quantity Sold" fld="4" baseField="0" baseItem="0"/>
    <dataField name="Sum of Stock Moveme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A31E56-BF32-4B10-8A82-DB8E05DA19E6}" name="PivotTable3"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4:F48" firstHeaderRow="1" firstDataRow="1" firstDataCol="1"/>
  <pivotFields count="9">
    <pivotField showAll="0"/>
    <pivotField axis="axisRow" showAll="0">
      <items count="4">
        <item x="0"/>
        <item x="1"/>
        <item x="2"/>
        <item t="default"/>
      </items>
    </pivotField>
    <pivotField showAll="0">
      <items count="4">
        <item x="0"/>
        <item x="1"/>
        <item x="2"/>
        <item t="default"/>
      </items>
    </pivotField>
    <pivotField showAll="0"/>
    <pivotField showAll="0"/>
    <pivotField showAll="0"/>
    <pivotField numFmtId="16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dataField="1" showAll="0"/>
    <pivotField dragToRow="0" dragToCol="0" dragToPage="0" showAll="0" defaultSubtotal="0"/>
  </pivotFields>
  <rowFields count="1">
    <field x="1"/>
  </rowFields>
  <rowItems count="4">
    <i>
      <x/>
    </i>
    <i>
      <x v="1"/>
    </i>
    <i>
      <x v="2"/>
    </i>
    <i t="grand">
      <x/>
    </i>
  </rowItems>
  <colItems count="1">
    <i/>
  </colItems>
  <dataFields count="1">
    <dataField name="Sum of Closing Stock"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3AD2639-A3C5-45E2-A65C-E30686AE4FCF}" name="PivotTable5"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54:F55" firstHeaderRow="0" firstDataRow="1" firstDataCol="0"/>
  <pivotFields count="6">
    <pivotField showAll="0">
      <items count="5">
        <item x="1"/>
        <item x="0"/>
        <item x="3"/>
        <item x="2"/>
        <item t="default"/>
      </items>
    </pivotField>
    <pivotField showAll="0">
      <items count="5">
        <item x="0"/>
        <item x="3"/>
        <item x="2"/>
        <item x="1"/>
        <item t="default"/>
      </items>
    </pivotField>
    <pivotField dataField="1" showAll="0"/>
    <pivotField dataField="1" showAll="0"/>
    <pivotField numFmtId="164" showAll="0">
      <items count="15">
        <item x="0"/>
        <item x="1"/>
        <item x="2"/>
        <item x="3"/>
        <item x="4"/>
        <item x="5"/>
        <item x="6"/>
        <item x="7"/>
        <item x="8"/>
        <item x="9"/>
        <item x="10"/>
        <item x="11"/>
        <item x="12"/>
        <item x="13"/>
        <item t="default"/>
      </items>
    </pivotField>
    <pivotField showAll="0">
      <items count="5">
        <item x="1"/>
        <item x="3"/>
        <item x="0"/>
        <item x="2"/>
        <item t="default"/>
      </items>
    </pivotField>
  </pivotFields>
  <rowItems count="1">
    <i/>
  </rowItems>
  <colFields count="1">
    <field x="-2"/>
  </colFields>
  <colItems count="2">
    <i>
      <x/>
    </i>
    <i i="1">
      <x v="1"/>
    </i>
  </colItems>
  <dataFields count="2">
    <dataField name="Sum of Budget" fld="3" baseField="0" baseItem="0"/>
    <dataField name="Sum of Expense Am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18CD1FD-E031-4807-B12F-14FD57E64E98}"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6:F51" firstHeaderRow="1" firstDataRow="1" firstDataCol="1"/>
  <pivotFields count="6">
    <pivotField showAll="0">
      <items count="5">
        <item x="1"/>
        <item x="0"/>
        <item x="3"/>
        <item x="2"/>
        <item t="default"/>
      </items>
    </pivotField>
    <pivotField showAll="0">
      <items count="5">
        <item x="0"/>
        <item x="3"/>
        <item x="2"/>
        <item x="1"/>
        <item t="default"/>
      </items>
    </pivotField>
    <pivotField dataField="1" showAll="0"/>
    <pivotField showAll="0"/>
    <pivotField numFmtId="164" showAll="0">
      <items count="15">
        <item x="0"/>
        <item x="1"/>
        <item x="2"/>
        <item x="3"/>
        <item x="4"/>
        <item x="5"/>
        <item x="6"/>
        <item x="7"/>
        <item x="8"/>
        <item x="9"/>
        <item x="10"/>
        <item x="11"/>
        <item x="12"/>
        <item x="13"/>
        <item t="default"/>
      </items>
    </pivotField>
    <pivotField axis="axisRow" showAll="0">
      <items count="5">
        <item x="1"/>
        <item x="3"/>
        <item x="0"/>
        <item x="2"/>
        <item t="default"/>
      </items>
    </pivotField>
  </pivotFields>
  <rowFields count="1">
    <field x="5"/>
  </rowFields>
  <rowItems count="5">
    <i>
      <x/>
    </i>
    <i>
      <x v="1"/>
    </i>
    <i>
      <x v="2"/>
    </i>
    <i>
      <x v="3"/>
    </i>
    <i t="grand">
      <x/>
    </i>
  </rowItems>
  <colItems count="1">
    <i/>
  </colItems>
  <dataFields count="1">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8386D3C-3B5F-4BC1-9519-E88107ED4129}"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6:B59" firstHeaderRow="1" firstDataRow="1" firstDataCol="1"/>
  <pivotFields count="6">
    <pivotField showAll="0">
      <items count="5">
        <item x="1"/>
        <item x="0"/>
        <item x="3"/>
        <item x="2"/>
        <item t="default"/>
      </items>
    </pivotField>
    <pivotField showAll="0">
      <items count="5">
        <item x="0"/>
        <item x="3"/>
        <item x="2"/>
        <item x="1"/>
        <item t="default"/>
      </items>
    </pivotField>
    <pivotField dataField="1" showAll="0"/>
    <pivotField showAll="0"/>
    <pivotField axis="axisRow" numFmtId="164" showAll="0">
      <items count="15">
        <item x="0"/>
        <item x="1"/>
        <item x="2"/>
        <item x="3"/>
        <item x="4"/>
        <item x="5"/>
        <item x="6"/>
        <item x="7"/>
        <item x="8"/>
        <item x="9"/>
        <item x="10"/>
        <item x="11"/>
        <item x="12"/>
        <item x="13"/>
        <item t="default"/>
      </items>
    </pivotField>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8B498B0-438B-4FCE-8C77-152342C2564B}"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6:C41" firstHeaderRow="0" firstDataRow="1" firstDataCol="1"/>
  <pivotFields count="6">
    <pivotField axis="axisRow" showAll="0">
      <items count="5">
        <item x="1"/>
        <item x="0"/>
        <item x="3"/>
        <item x="2"/>
        <item t="default"/>
      </items>
    </pivotField>
    <pivotField showAll="0"/>
    <pivotField dataField="1" showAll="0"/>
    <pivotField dataField="1" showAll="0"/>
    <pivotField numFmtId="164" showAll="0">
      <items count="15">
        <item x="0"/>
        <item x="1"/>
        <item x="2"/>
        <item x="3"/>
        <item x="4"/>
        <item x="5"/>
        <item x="6"/>
        <item x="7"/>
        <item x="8"/>
        <item x="9"/>
        <item x="10"/>
        <item x="11"/>
        <item x="12"/>
        <item x="13"/>
        <item t="default"/>
      </items>
    </pivotField>
    <pivotField showAll="0"/>
  </pivotFields>
  <rowFields count="1">
    <field x="0"/>
  </rowFields>
  <rowItems count="5">
    <i>
      <x/>
    </i>
    <i>
      <x v="1"/>
    </i>
    <i>
      <x v="2"/>
    </i>
    <i>
      <x v="3"/>
    </i>
    <i t="grand">
      <x/>
    </i>
  </rowItems>
  <colFields count="1">
    <field x="-2"/>
  </colFields>
  <colItems count="2">
    <i>
      <x/>
    </i>
    <i i="1">
      <x v="1"/>
    </i>
  </colItems>
  <dataFields count="2">
    <dataField name="Sum of Budget" fld="3" baseField="0" baseItem="0"/>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AAF8F28-1C66-4901-BD7B-8B9C80596002}"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6:G41" firstHeaderRow="0" firstDataRow="1" firstDataCol="1"/>
  <pivotFields count="6">
    <pivotField axis="axisRow" showAll="0">
      <items count="5">
        <item x="1"/>
        <item x="0"/>
        <item x="3"/>
        <item x="2"/>
        <item t="default"/>
      </items>
    </pivotField>
    <pivotField showAll="0">
      <items count="5">
        <item x="0"/>
        <item x="3"/>
        <item x="2"/>
        <item x="1"/>
        <item t="default"/>
      </items>
    </pivotField>
    <pivotField dataField="1" showAll="0"/>
    <pivotField dataField="1" showAll="0"/>
    <pivotField numFmtId="164" showAll="0">
      <items count="15">
        <item x="0"/>
        <item x="1"/>
        <item x="2"/>
        <item x="3"/>
        <item x="4"/>
        <item x="5"/>
        <item x="6"/>
        <item x="7"/>
        <item x="8"/>
        <item x="9"/>
        <item x="10"/>
        <item x="11"/>
        <item x="12"/>
        <item x="13"/>
        <item t="default"/>
      </items>
    </pivotField>
    <pivotField showAll="0"/>
  </pivotFields>
  <rowFields count="1">
    <field x="0"/>
  </rowFields>
  <rowItems count="5">
    <i>
      <x/>
    </i>
    <i>
      <x v="1"/>
    </i>
    <i>
      <x v="2"/>
    </i>
    <i>
      <x v="3"/>
    </i>
    <i t="grand">
      <x/>
    </i>
  </rowItems>
  <colFields count="1">
    <field x="-2"/>
  </colFields>
  <colItems count="2">
    <i>
      <x/>
    </i>
    <i i="1">
      <x v="1"/>
    </i>
  </colItems>
  <dataFields count="2">
    <dataField name="Sum of Budget" fld="3" baseField="0" baseItem="0"/>
    <dataField name="Sum of Expense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9D57927-C580-4B8C-9B91-8C239E409930}" name="PivotTable1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58:C69" firstHeaderRow="0" firstDataRow="1" firstDataCol="1"/>
  <pivotFields count="8">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axis="axisRow" numFmtId="164" showAll="0">
      <items count="15">
        <item x="0"/>
        <item x="1"/>
        <item x="2"/>
        <item x="3"/>
        <item x="4"/>
        <item x="5"/>
        <item x="6"/>
        <item x="7"/>
        <item x="8"/>
        <item x="9"/>
        <item x="10"/>
        <item x="11"/>
        <item x="12"/>
        <item x="13"/>
        <item t="default"/>
      </items>
    </pivotField>
    <pivotField numFmtId="164" showAll="0"/>
    <pivotField showAll="0">
      <items count="5">
        <item x="1"/>
        <item x="3"/>
        <item x="2"/>
        <item x="0"/>
        <item t="default"/>
      </items>
    </pivotField>
    <pivotField dataField="1" showAll="0"/>
    <pivotField showAll="0">
      <items count="3">
        <item x="1"/>
        <item x="0"/>
        <item t="default"/>
      </items>
    </pivotField>
    <pivotField showAll="0"/>
  </pivotFields>
  <rowFields count="1">
    <field x="2"/>
  </rowFields>
  <rowItems count="11">
    <i>
      <x v="2"/>
    </i>
    <i>
      <x v="3"/>
    </i>
    <i>
      <x v="4"/>
    </i>
    <i>
      <x v="5"/>
    </i>
    <i>
      <x v="6"/>
    </i>
    <i>
      <x v="7"/>
    </i>
    <i>
      <x v="8"/>
    </i>
    <i>
      <x v="9"/>
    </i>
    <i>
      <x v="10"/>
    </i>
    <i>
      <x v="11"/>
    </i>
    <i t="grand">
      <x/>
    </i>
  </rowItems>
  <colFields count="1">
    <field x="-2"/>
  </colFields>
  <colItems count="2">
    <i>
      <x/>
    </i>
    <i i="1">
      <x v="1"/>
    </i>
  </colItems>
  <dataFields count="2">
    <dataField name="Count of Order ID" fld="0" subtotal="count" baseField="2" baseItem="2"/>
    <dataField name="Sum of Order Value"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4D088A1-02A6-4CFF-B877-C08463254D3E}" name="PivotTable10"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44:H50" firstHeaderRow="1" firstDataRow="1" firstDataCol="1"/>
  <pivotFields count="8">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0"/>
        <item x="4"/>
        <item x="2"/>
        <item x="3"/>
        <item x="1"/>
        <item t="default"/>
      </items>
    </pivotField>
    <pivotField numFmtId="164" showAll="0">
      <items count="15">
        <item x="0"/>
        <item x="1"/>
        <item x="2"/>
        <item x="3"/>
        <item x="4"/>
        <item x="5"/>
        <item x="6"/>
        <item x="7"/>
        <item x="8"/>
        <item x="9"/>
        <item x="10"/>
        <item x="11"/>
        <item x="12"/>
        <item x="13"/>
        <item t="default"/>
      </items>
    </pivotField>
    <pivotField numFmtId="164" showAll="0"/>
    <pivotField showAll="0">
      <items count="5">
        <item x="1"/>
        <item x="3"/>
        <item x="2"/>
        <item x="0"/>
        <item t="default"/>
      </items>
    </pivotField>
    <pivotField showAll="0"/>
    <pivotField dataField="1" showAll="0">
      <items count="3">
        <item x="1"/>
        <item x="0"/>
        <item t="default"/>
      </items>
    </pivotField>
    <pivotField showAll="0"/>
  </pivotFields>
  <rowFields count="1">
    <field x="1"/>
  </rowFields>
  <rowItems count="6">
    <i>
      <x/>
    </i>
    <i>
      <x v="1"/>
    </i>
    <i>
      <x v="2"/>
    </i>
    <i>
      <x v="3"/>
    </i>
    <i>
      <x v="4"/>
    </i>
    <i t="grand">
      <x/>
    </i>
  </rowItems>
  <colItems count="1">
    <i/>
  </colItems>
  <dataFields count="1">
    <dataField name="Count of Delivery Status" fld="6"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837E082-36B6-4302-AEEA-D16CD0A986DD}" name="PivotTable9"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4:C55" firstHeaderRow="0" firstDataRow="1" firstDataCol="1"/>
  <pivotFields count="8">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axis="axisRow" dataField="1" numFmtId="164" showAll="0">
      <items count="15">
        <item x="0"/>
        <item x="1"/>
        <item x="2"/>
        <item x="3"/>
        <item x="4"/>
        <item x="5"/>
        <item x="6"/>
        <item x="7"/>
        <item x="8"/>
        <item x="9"/>
        <item x="10"/>
        <item x="11"/>
        <item x="12"/>
        <item x="13"/>
        <item t="default"/>
      </items>
    </pivotField>
    <pivotField numFmtId="164" showAll="0"/>
    <pivotField showAll="0">
      <items count="5">
        <item x="1"/>
        <item x="3"/>
        <item x="2"/>
        <item x="0"/>
        <item t="default"/>
      </items>
    </pivotField>
    <pivotField dataField="1" showAll="0"/>
    <pivotField showAll="0">
      <items count="3">
        <item x="1"/>
        <item x="0"/>
        <item t="default"/>
      </items>
    </pivotField>
    <pivotField showAll="0"/>
  </pivotFields>
  <rowFields count="1">
    <field x="2"/>
  </rowFields>
  <rowItems count="11">
    <i>
      <x v="2"/>
    </i>
    <i>
      <x v="3"/>
    </i>
    <i>
      <x v="4"/>
    </i>
    <i>
      <x v="5"/>
    </i>
    <i>
      <x v="6"/>
    </i>
    <i>
      <x v="7"/>
    </i>
    <i>
      <x v="8"/>
    </i>
    <i>
      <x v="9"/>
    </i>
    <i>
      <x v="10"/>
    </i>
    <i>
      <x v="11"/>
    </i>
    <i t="grand">
      <x/>
    </i>
  </rowItems>
  <colFields count="1">
    <field x="-2"/>
  </colFields>
  <colItems count="2">
    <i>
      <x/>
    </i>
    <i i="1">
      <x v="1"/>
    </i>
  </colItems>
  <dataFields count="2">
    <dataField name="Sum of Order Value" fld="5" baseField="0" baseItem="0"/>
    <dataField name="Count of Order Date" fld="2" subtotal="count" baseField="8"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4FE25C2-149F-4FB1-B587-E98C759FE1B5}" name="PivotTable8"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4:H39" firstHeaderRow="1" firstDataRow="1" firstDataCol="1"/>
  <pivotFields count="8">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items count="6">
        <item x="0"/>
        <item x="4"/>
        <item x="2"/>
        <item x="3"/>
        <item x="1"/>
        <item t="default"/>
      </items>
    </pivotField>
    <pivotField numFmtId="164" showAll="0">
      <items count="15">
        <item x="0"/>
        <item x="1"/>
        <item x="2"/>
        <item x="3"/>
        <item x="4"/>
        <item x="5"/>
        <item x="6"/>
        <item x="7"/>
        <item x="8"/>
        <item x="9"/>
        <item x="10"/>
        <item x="11"/>
        <item x="12"/>
        <item x="13"/>
        <item t="default"/>
      </items>
    </pivotField>
    <pivotField numFmtId="164" showAll="0"/>
    <pivotField axis="axisRow" showAll="0">
      <items count="5">
        <item x="1"/>
        <item x="3"/>
        <item x="2"/>
        <item x="0"/>
        <item t="default"/>
      </items>
    </pivotField>
    <pivotField showAll="0"/>
    <pivotField showAll="0">
      <items count="3">
        <item x="1"/>
        <item x="0"/>
        <item t="default"/>
      </items>
    </pivotField>
    <pivotField dataField="1" showAll="0"/>
  </pivotFields>
  <rowFields count="1">
    <field x="4"/>
  </rowFields>
  <rowItems count="5">
    <i>
      <x/>
    </i>
    <i>
      <x v="1"/>
    </i>
    <i>
      <x v="2"/>
    </i>
    <i>
      <x v="3"/>
    </i>
    <i t="grand">
      <x/>
    </i>
  </rowItems>
  <colItems count="1">
    <i/>
  </colItems>
  <dataFields count="1">
    <dataField name="Average of Delivery Duration (Days)" fld="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59DE8A8-7896-45AE-8141-97F562BBD801}" name="PivotTable7"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4:D41" firstHeaderRow="1" firstDataRow="2" firstDataCol="1"/>
  <pivotFields count="8">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6">
        <item x="0"/>
        <item x="4"/>
        <item x="2"/>
        <item x="3"/>
        <item x="1"/>
        <item t="default"/>
      </items>
    </pivotField>
    <pivotField numFmtId="164" showAll="0">
      <items count="15">
        <item x="0"/>
        <item x="1"/>
        <item x="2"/>
        <item x="3"/>
        <item x="4"/>
        <item x="5"/>
        <item x="6"/>
        <item x="7"/>
        <item x="8"/>
        <item x="9"/>
        <item x="10"/>
        <item x="11"/>
        <item x="12"/>
        <item x="13"/>
        <item t="default"/>
      </items>
    </pivotField>
    <pivotField numFmtId="164" showAll="0"/>
    <pivotField showAll="0">
      <items count="5">
        <item x="1"/>
        <item x="3"/>
        <item x="2"/>
        <item x="0"/>
        <item t="default"/>
      </items>
    </pivotField>
    <pivotField showAll="0"/>
    <pivotField axis="axisCol" showAll="0">
      <items count="3">
        <item x="1"/>
        <item x="0"/>
        <item t="default"/>
      </items>
    </pivotField>
    <pivotField showAll="0"/>
  </pivotFields>
  <rowFields count="1">
    <field x="1"/>
  </rowFields>
  <rowItems count="6">
    <i>
      <x/>
    </i>
    <i>
      <x v="1"/>
    </i>
    <i>
      <x v="2"/>
    </i>
    <i>
      <x v="3"/>
    </i>
    <i>
      <x v="4"/>
    </i>
    <i t="grand">
      <x/>
    </i>
  </rowItems>
  <colFields count="1">
    <field x="6"/>
  </colFields>
  <colItems count="3">
    <i>
      <x/>
    </i>
    <i>
      <x v="1"/>
    </i>
    <i t="grand">
      <x/>
    </i>
  </colItems>
  <dataFields count="1">
    <dataField name="Count of Order 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FDBD31-CCA5-49C9-AF9F-2102BBC4422D}" sourceName="Region">
  <pivotTables>
    <pivotTable tabId="1" name="PivotTable1"/>
    <pivotTable tabId="1" name="PivotTable2"/>
    <pivotTable tabId="1" name="PivotTable3"/>
    <pivotTable tabId="1" name="PivotTable4"/>
    <pivotTable tabId="1" name="PivotTable5"/>
  </pivotTables>
  <data>
    <tabular pivotCacheId="85157602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CF487D1-B1BA-4440-B87A-A8AEC2DE3228}" sourceName="Product">
  <pivotTables>
    <pivotTable tabId="1" name="PivotTable1"/>
    <pivotTable tabId="1" name="PivotTable2"/>
    <pivotTable tabId="1" name="PivotTable4"/>
    <pivotTable tabId="1" name="PivotTable5"/>
  </pivotTables>
  <data>
    <tabular pivotCacheId="851576022">
      <items count="5">
        <i x="2" s="1"/>
        <i x="3"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8E6B9024-7545-4094-B428-63EAE83FBBB0}" sourceName="Warehouse">
  <pivotTables>
    <pivotTable tabId="3" name="PivotTable5"/>
    <pivotTable tabId="3" name="PivotTable1"/>
    <pivotTable tabId="3" name="PivotTable2"/>
    <pivotTable tabId="3" name="PivotTable3"/>
    <pivotTable tabId="3" name="PivotTable4"/>
    <pivotTable tabId="3" name="PivotTable7"/>
  </pivotTables>
  <data>
    <tabular pivotCacheId="129698459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A09184C-E6FB-4D42-8A29-9AC5C7964C67}" sourceName="Product">
  <pivotTables>
    <pivotTable tabId="5" name="PivotTable8"/>
    <pivotTable tabId="5" name="PivotTable10"/>
    <pivotTable tabId="5" name="PivotTable11"/>
    <pivotTable tabId="5" name="PivotTable7"/>
    <pivotTable tabId="5" name="PivotTable9"/>
  </pivotTables>
  <data>
    <tabular pivotCacheId="1114770456">
      <items count="4">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FEB1175-DCDA-4B2E-94A5-ABB7795231F6}" sourceName="Delivery Status">
  <pivotTables>
    <pivotTable tabId="5" name="PivotTable8"/>
    <pivotTable tabId="5" name="PivotTable10"/>
    <pivotTable tabId="5" name="PivotTable11"/>
    <pivotTable tabId="5" name="PivotTable7"/>
    <pivotTable tabId="5" name="PivotTable9"/>
  </pivotTables>
  <data>
    <tabular pivotCacheId="11147704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3B7E8DB-9DB1-4AE2-8857-E3D02336C7EC}" cache="Slicer_Region" caption="Region" rowHeight="241300"/>
  <slicer name="Product" xr10:uid="{A9D0E843-E88A-492F-9035-A946D94323D5}"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2492412A-52DA-4617-81A7-AC082D203F24}" cache="Slicer_Warehouse" caption="Warehous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FF3F0ED-7D6C-4A51-BAD2-18A1D34D3E2C}" cache="Slicer_Product1" caption="Product" rowHeight="241300"/>
  <slicer name="Delivery Status" xr10:uid="{AA4FB632-5E39-454A-8ADA-BA76C794E4C2}" cache="Slicer_Delivery_Status" caption="Delivery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659C9-66CE-44E7-90F3-B010424C2EF2}" name="Table1" displayName="Table1" ref="A1:H31" totalsRowShown="0" headerRowDxfId="21" headerRowBorderDxfId="20" tableBorderDxfId="19">
  <autoFilter ref="A1:H31" xr:uid="{2C5659C9-66CE-44E7-90F3-B010424C2EF2}"/>
  <tableColumns count="8">
    <tableColumn id="1" xr3:uid="{4331978C-3652-42E9-89CB-6A8E6D6A55C9}" name="Date" dataDxfId="18"/>
    <tableColumn id="2" xr3:uid="{0A5311B7-540C-4FC5-AEA3-9E6D627B63FC}" name="Region"/>
    <tableColumn id="3" xr3:uid="{58950AD8-5C1D-4923-B0EF-424F175BE76F}" name="Salesperson"/>
    <tableColumn id="4" xr3:uid="{9FD6564D-F392-4350-8BA3-D3016F716ADB}" name="Product"/>
    <tableColumn id="5" xr3:uid="{0A8557D5-C20A-4A15-9350-A7CEF5ED4E39}" name="Units Sold"/>
    <tableColumn id="6" xr3:uid="{B9DE79F5-7388-4E66-87E6-D354E2F4FD88}" name="Unit Price"/>
    <tableColumn id="7" xr3:uid="{76FE009A-813A-484C-A993-13B9C9DB6D52}" name="Revenue"/>
    <tableColumn id="8" xr3:uid="{1B9912DF-0180-4598-8B58-214394FCAD16}"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07696-3AA4-47EC-ADF6-13A796C4EF23}" name="Table2" displayName="Table2" ref="A1:H31" totalsRowShown="0" headerRowDxfId="17" headerRowBorderDxfId="16" tableBorderDxfId="15">
  <autoFilter ref="A1:H31" xr:uid="{9C907696-3AA4-47EC-ADF6-13A796C4EF23}"/>
  <tableColumns count="8">
    <tableColumn id="1" xr3:uid="{D9D57BEA-98C4-4BF8-A854-C3FA3389FA16}" name="Employee ID"/>
    <tableColumn id="2" xr3:uid="{170E6483-E01C-4ECA-B69B-7B995568F391}" name="Department"/>
    <tableColumn id="3" xr3:uid="{A24F0F6F-F845-48F2-B896-DB5ACF90FFEF}" name="Gender"/>
    <tableColumn id="4" xr3:uid="{9C6FBF9A-9667-4B23-A19C-073754590503}" name="Age"/>
    <tableColumn id="5" xr3:uid="{21B5DB03-4D35-4B35-9B1F-E13CED38F130}" name="Join Date" dataDxfId="14"/>
    <tableColumn id="6" xr3:uid="{6B5AB3E0-419C-4C3E-BE81-7E680AB5C11C}" name="Exit Date" dataDxfId="13"/>
    <tableColumn id="7" xr3:uid="{4CC45C4B-60F3-406A-995F-275F958FEBF5}" name="Status"/>
    <tableColumn id="8" xr3:uid="{2CAC10A9-7E47-4AAC-A8B6-5C564223436E}" name="Sala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C40F04-EAC9-4D89-BB8E-8D9467FC03AB}" name="Table3" displayName="Table3" ref="A1:H31" totalsRowShown="0" headerRowDxfId="12" headerRowBorderDxfId="11" tableBorderDxfId="10">
  <autoFilter ref="A1:H31" xr:uid="{49C40F04-EAC9-4D89-BB8E-8D9467FC03AB}"/>
  <tableColumns count="8">
    <tableColumn id="1" xr3:uid="{A54116F6-F08E-46E1-A0DC-F6F5811B9C3F}" name="Product ID"/>
    <tableColumn id="2" xr3:uid="{4EBBC1D5-125A-479E-8C8C-3A1A27D2FE9C}" name="Product Category"/>
    <tableColumn id="3" xr3:uid="{3CFC19F0-BE1B-46B6-89F6-C9EDAC16E0C2}" name="Warehouse"/>
    <tableColumn id="4" xr3:uid="{EF285621-CA5B-48BF-8B4D-481176CEE710}" name="Opening Stock"/>
    <tableColumn id="5" xr3:uid="{4F5FB38C-DA74-4518-90F8-AF577814F6FA}" name="Quantity Sold"/>
    <tableColumn id="6" xr3:uid="{FFEAE278-D25E-47FD-8BEA-B7A33B2D9FF0}" name="Quantity Purchased"/>
    <tableColumn id="7" xr3:uid="{C740A716-89C0-4DE8-9E92-CB287368E8DB}" name="Date" dataDxfId="9"/>
    <tableColumn id="8" xr3:uid="{EB8376C2-EB11-4FF4-B1FC-4D3ACDFC44E8}" name="Closing Stoc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4CB40C-A24A-41C6-9AF6-4355D77FF287}" name="Table4" displayName="Table4" ref="A1:F31" totalsRowShown="0" headerRowDxfId="8" headerRowBorderDxfId="7" tableBorderDxfId="6">
  <autoFilter ref="A1:F31" xr:uid="{174CB40C-A24A-41C6-9AF6-4355D77FF287}"/>
  <tableColumns count="6">
    <tableColumn id="1" xr3:uid="{9C85ACE6-0A34-406F-941B-B7F2AC05F800}" name="Department"/>
    <tableColumn id="2" xr3:uid="{D9239C1B-B124-4942-9494-6BA276D39C88}" name="Expense Category"/>
    <tableColumn id="3" xr3:uid="{ED3FF051-885B-4996-9DE2-6332C5E1FD49}" name="Expense Amount"/>
    <tableColumn id="4" xr3:uid="{1E5FC80F-DBB8-497A-80E0-25ADFCF207EE}" name="Budget"/>
    <tableColumn id="5" xr3:uid="{00C41702-1A96-44C8-8BFC-9CA4DD38B44E}" name="Date" dataDxfId="5"/>
    <tableColumn id="6" xr3:uid="{B66636FB-6DA1-4728-971A-9A2A452602FA}" name="Project 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58F06A-99DF-42F2-A616-C3DC350A6637}" name="Table5" displayName="Table5" ref="A1:H31" totalsRowShown="0" headerRowDxfId="0" headerRowBorderDxfId="3" tableBorderDxfId="4">
  <autoFilter ref="A1:H31" xr:uid="{B458F06A-99DF-42F2-A616-C3DC350A6637}"/>
  <tableColumns count="8">
    <tableColumn id="1" xr3:uid="{C1517782-50C7-41F9-8950-D24A6ED5664C}" name="Order ID"/>
    <tableColumn id="2" xr3:uid="{840F04B3-974F-403C-8DB3-AD192A23070A}" name="Customer Name"/>
    <tableColumn id="3" xr3:uid="{A8774384-2796-43E9-9630-867531A65B51}" name="Order Date" dataDxfId="2"/>
    <tableColumn id="4" xr3:uid="{C5263242-525B-4D6E-9305-DBC78626578C}" name="Delivery Date" dataDxfId="1"/>
    <tableColumn id="5" xr3:uid="{7016ACF3-4106-4E02-A971-A79A15048F44}" name="Product"/>
    <tableColumn id="6" xr3:uid="{569E010C-01F3-4851-B9CC-676839550096}" name="Order Value"/>
    <tableColumn id="7" xr3:uid="{52C7B236-5327-49FE-9484-1C5CC7616F79}" name="Delivery Status"/>
    <tableColumn id="8" xr3:uid="{6EB23A6C-DEE3-4793-BE8A-F6D295FE1B33}" name="Delivery Duration (Da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table" Target="../tables/table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13.xml"/><Relationship Id="rId7"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9.xml"/><Relationship Id="rId7" Type="http://schemas.openxmlformats.org/officeDocument/2006/relationships/table" Target="../tables/table4.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drawing" Target="../drawings/drawing4.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24.xml"/><Relationship Id="rId7" Type="http://schemas.openxmlformats.org/officeDocument/2006/relationships/table" Target="../tables/table5.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drawing" Target="../drawings/drawing5.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F67BD-5F85-4235-AA76-C96EEE268E5E}">
  <dimension ref="A1:H59"/>
  <sheetViews>
    <sheetView topLeftCell="A26" workbookViewId="0">
      <selection activeCell="B38" sqref="B38"/>
    </sheetView>
  </sheetViews>
  <sheetFormatPr defaultRowHeight="15" x14ac:dyDescent="0.25"/>
  <cols>
    <col min="1" max="1" width="29.28515625" customWidth="1"/>
    <col min="2" max="2" width="15.5703125" bestFit="1" customWidth="1"/>
    <col min="3" max="3" width="12.5703125" bestFit="1" customWidth="1"/>
    <col min="4" max="4" width="17" customWidth="1"/>
    <col min="5" max="5" width="13.140625" bestFit="1" customWidth="1"/>
    <col min="6" max="6" width="15.5703125" bestFit="1" customWidth="1"/>
    <col min="7" max="7" width="12.5703125" bestFit="1" customWidth="1"/>
    <col min="8" max="8" width="16.28515625" customWidth="1"/>
  </cols>
  <sheetData>
    <row r="1" spans="1:8" x14ac:dyDescent="0.25">
      <c r="A1" s="3" t="s">
        <v>0</v>
      </c>
      <c r="B1" s="3" t="s">
        <v>1</v>
      </c>
      <c r="C1" s="3" t="s">
        <v>2</v>
      </c>
      <c r="D1" s="3" t="s">
        <v>3</v>
      </c>
      <c r="E1" s="3" t="s">
        <v>4</v>
      </c>
      <c r="F1" s="3" t="s">
        <v>5</v>
      </c>
      <c r="G1" s="3" t="s">
        <v>6</v>
      </c>
      <c r="H1" s="3" t="s">
        <v>7</v>
      </c>
    </row>
    <row r="2" spans="1:8" x14ac:dyDescent="0.25">
      <c r="A2" s="2">
        <v>45019</v>
      </c>
      <c r="B2" s="1" t="s">
        <v>8</v>
      </c>
      <c r="C2" s="1" t="s">
        <v>9</v>
      </c>
      <c r="D2" s="1" t="s">
        <v>10</v>
      </c>
      <c r="E2" s="1">
        <v>12</v>
      </c>
      <c r="F2" s="1">
        <v>809</v>
      </c>
      <c r="G2" s="1">
        <v>9708</v>
      </c>
      <c r="H2" s="1">
        <v>1941.6</v>
      </c>
    </row>
    <row r="3" spans="1:8" x14ac:dyDescent="0.25">
      <c r="A3" s="2">
        <v>45109</v>
      </c>
      <c r="B3" s="1" t="s">
        <v>8</v>
      </c>
      <c r="C3" s="1" t="s">
        <v>11</v>
      </c>
      <c r="D3" s="1" t="s">
        <v>10</v>
      </c>
      <c r="E3" s="1">
        <v>10</v>
      </c>
      <c r="F3" s="1">
        <v>418</v>
      </c>
      <c r="G3" s="1">
        <v>4180</v>
      </c>
      <c r="H3" s="1">
        <v>836</v>
      </c>
    </row>
    <row r="4" spans="1:8" x14ac:dyDescent="0.25">
      <c r="A4" s="2">
        <v>45267</v>
      </c>
      <c r="B4" s="1" t="s">
        <v>12</v>
      </c>
      <c r="C4" s="1" t="s">
        <v>13</v>
      </c>
      <c r="D4" s="1" t="s">
        <v>14</v>
      </c>
      <c r="E4" s="1">
        <v>12</v>
      </c>
      <c r="F4" s="1">
        <v>528</v>
      </c>
      <c r="G4" s="1">
        <v>6336</v>
      </c>
      <c r="H4" s="1">
        <v>1267.2</v>
      </c>
    </row>
    <row r="5" spans="1:8" x14ac:dyDescent="0.25">
      <c r="A5" s="2">
        <v>44998</v>
      </c>
      <c r="B5" s="1" t="s">
        <v>15</v>
      </c>
      <c r="C5" s="1" t="s">
        <v>16</v>
      </c>
      <c r="D5" s="1" t="s">
        <v>17</v>
      </c>
      <c r="E5" s="1">
        <v>10</v>
      </c>
      <c r="F5" s="1">
        <v>761</v>
      </c>
      <c r="G5" s="1">
        <v>7610</v>
      </c>
      <c r="H5" s="1">
        <v>1522</v>
      </c>
    </row>
    <row r="6" spans="1:8" x14ac:dyDescent="0.25">
      <c r="A6" s="2">
        <v>45149</v>
      </c>
      <c r="B6" s="1" t="s">
        <v>12</v>
      </c>
      <c r="C6" s="1" t="s">
        <v>13</v>
      </c>
      <c r="D6" s="1" t="s">
        <v>14</v>
      </c>
      <c r="E6" s="1">
        <v>20</v>
      </c>
      <c r="F6" s="1">
        <v>216</v>
      </c>
      <c r="G6" s="1">
        <v>4320</v>
      </c>
      <c r="H6" s="1">
        <v>864</v>
      </c>
    </row>
    <row r="7" spans="1:8" x14ac:dyDescent="0.25">
      <c r="A7" s="2">
        <v>45249</v>
      </c>
      <c r="B7" s="1" t="s">
        <v>12</v>
      </c>
      <c r="C7" s="1" t="s">
        <v>13</v>
      </c>
      <c r="D7" s="1" t="s">
        <v>18</v>
      </c>
      <c r="E7" s="1">
        <v>20</v>
      </c>
      <c r="F7" s="1">
        <v>975</v>
      </c>
      <c r="G7" s="1">
        <v>19500</v>
      </c>
      <c r="H7" s="1">
        <v>3900</v>
      </c>
    </row>
    <row r="8" spans="1:8" x14ac:dyDescent="0.25">
      <c r="A8" s="2">
        <v>45024</v>
      </c>
      <c r="B8" s="1" t="s">
        <v>15</v>
      </c>
      <c r="C8" s="1" t="s">
        <v>11</v>
      </c>
      <c r="D8" s="1" t="s">
        <v>10</v>
      </c>
      <c r="E8" s="1">
        <v>14</v>
      </c>
      <c r="F8" s="1">
        <v>779</v>
      </c>
      <c r="G8" s="1">
        <v>10906</v>
      </c>
      <c r="H8" s="1">
        <v>2181.1999999999998</v>
      </c>
    </row>
    <row r="9" spans="1:8" x14ac:dyDescent="0.25">
      <c r="A9" s="2">
        <v>45019</v>
      </c>
      <c r="B9" s="1" t="s">
        <v>8</v>
      </c>
      <c r="C9" s="1" t="s">
        <v>9</v>
      </c>
      <c r="D9" s="1" t="s">
        <v>14</v>
      </c>
      <c r="E9" s="1">
        <v>17</v>
      </c>
      <c r="F9" s="1">
        <v>637</v>
      </c>
      <c r="G9" s="1">
        <v>10829</v>
      </c>
      <c r="H9" s="1">
        <v>2165.8000000000002</v>
      </c>
    </row>
    <row r="10" spans="1:8" x14ac:dyDescent="0.25">
      <c r="A10" s="2">
        <v>45008</v>
      </c>
      <c r="B10" s="1" t="s">
        <v>15</v>
      </c>
      <c r="C10" s="1" t="s">
        <v>13</v>
      </c>
      <c r="D10" s="1" t="s">
        <v>18</v>
      </c>
      <c r="E10" s="1">
        <v>19</v>
      </c>
      <c r="F10" s="1">
        <v>877</v>
      </c>
      <c r="G10" s="1">
        <v>16663</v>
      </c>
      <c r="H10" s="1">
        <v>3332.6</v>
      </c>
    </row>
    <row r="11" spans="1:8" x14ac:dyDescent="0.25">
      <c r="A11" s="2">
        <v>45139</v>
      </c>
      <c r="B11" s="1" t="s">
        <v>19</v>
      </c>
      <c r="C11" s="1" t="s">
        <v>11</v>
      </c>
      <c r="D11" s="1" t="s">
        <v>10</v>
      </c>
      <c r="E11" s="1">
        <v>6</v>
      </c>
      <c r="F11" s="1">
        <v>579</v>
      </c>
      <c r="G11" s="1">
        <v>3474</v>
      </c>
      <c r="H11" s="1">
        <v>694.80000000000007</v>
      </c>
    </row>
    <row r="12" spans="1:8" x14ac:dyDescent="0.25">
      <c r="A12" s="2">
        <v>45106</v>
      </c>
      <c r="B12" s="1" t="s">
        <v>15</v>
      </c>
      <c r="C12" s="1" t="s">
        <v>16</v>
      </c>
      <c r="D12" s="1" t="s">
        <v>18</v>
      </c>
      <c r="E12" s="1">
        <v>4</v>
      </c>
      <c r="F12" s="1">
        <v>945</v>
      </c>
      <c r="G12" s="1">
        <v>3780</v>
      </c>
      <c r="H12" s="1">
        <v>756</v>
      </c>
    </row>
    <row r="13" spans="1:8" x14ac:dyDescent="0.25">
      <c r="A13" s="2">
        <v>44969</v>
      </c>
      <c r="B13" s="1" t="s">
        <v>8</v>
      </c>
      <c r="C13" s="1" t="s">
        <v>11</v>
      </c>
      <c r="D13" s="1" t="s">
        <v>18</v>
      </c>
      <c r="E13" s="1">
        <v>7</v>
      </c>
      <c r="F13" s="1">
        <v>312</v>
      </c>
      <c r="G13" s="1">
        <v>2184</v>
      </c>
      <c r="H13" s="1">
        <v>436.8</v>
      </c>
    </row>
    <row r="14" spans="1:8" x14ac:dyDescent="0.25">
      <c r="A14" s="2">
        <v>45155</v>
      </c>
      <c r="B14" s="1" t="s">
        <v>19</v>
      </c>
      <c r="C14" s="1" t="s">
        <v>20</v>
      </c>
      <c r="D14" s="1" t="s">
        <v>14</v>
      </c>
      <c r="E14" s="1">
        <v>20</v>
      </c>
      <c r="F14" s="1">
        <v>541</v>
      </c>
      <c r="G14" s="1">
        <v>10820</v>
      </c>
      <c r="H14" s="1">
        <v>2164</v>
      </c>
    </row>
    <row r="15" spans="1:8" x14ac:dyDescent="0.25">
      <c r="A15" s="2">
        <v>45116</v>
      </c>
      <c r="B15" s="1" t="s">
        <v>19</v>
      </c>
      <c r="C15" s="1" t="s">
        <v>9</v>
      </c>
      <c r="D15" s="1" t="s">
        <v>21</v>
      </c>
      <c r="E15" s="1">
        <v>20</v>
      </c>
      <c r="F15" s="1">
        <v>566</v>
      </c>
      <c r="G15" s="1">
        <v>11320</v>
      </c>
      <c r="H15" s="1">
        <v>2264</v>
      </c>
    </row>
    <row r="16" spans="1:8" x14ac:dyDescent="0.25">
      <c r="A16" s="2">
        <v>44954</v>
      </c>
      <c r="B16" s="1" t="s">
        <v>15</v>
      </c>
      <c r="C16" s="1" t="s">
        <v>9</v>
      </c>
      <c r="D16" s="1" t="s">
        <v>21</v>
      </c>
      <c r="E16" s="1">
        <v>1</v>
      </c>
      <c r="F16" s="1">
        <v>995</v>
      </c>
      <c r="G16" s="1">
        <v>995</v>
      </c>
      <c r="H16" s="1">
        <v>199</v>
      </c>
    </row>
    <row r="17" spans="1:8" x14ac:dyDescent="0.25">
      <c r="A17" s="2">
        <v>44972</v>
      </c>
      <c r="B17" s="1" t="s">
        <v>12</v>
      </c>
      <c r="C17" s="1" t="s">
        <v>9</v>
      </c>
      <c r="D17" s="1" t="s">
        <v>21</v>
      </c>
      <c r="E17" s="1">
        <v>20</v>
      </c>
      <c r="F17" s="1">
        <v>877</v>
      </c>
      <c r="G17" s="1">
        <v>17540</v>
      </c>
      <c r="H17" s="1">
        <v>3508</v>
      </c>
    </row>
    <row r="18" spans="1:8" x14ac:dyDescent="0.25">
      <c r="A18" s="2">
        <v>45049</v>
      </c>
      <c r="B18" s="1" t="s">
        <v>15</v>
      </c>
      <c r="C18" s="1" t="s">
        <v>11</v>
      </c>
      <c r="D18" s="1" t="s">
        <v>10</v>
      </c>
      <c r="E18" s="1">
        <v>4</v>
      </c>
      <c r="F18" s="1">
        <v>545</v>
      </c>
      <c r="G18" s="1">
        <v>2180</v>
      </c>
      <c r="H18" s="1">
        <v>436</v>
      </c>
    </row>
    <row r="19" spans="1:8" x14ac:dyDescent="0.25">
      <c r="A19" s="2">
        <v>45116</v>
      </c>
      <c r="B19" s="1" t="s">
        <v>19</v>
      </c>
      <c r="C19" s="1" t="s">
        <v>20</v>
      </c>
      <c r="D19" s="1" t="s">
        <v>18</v>
      </c>
      <c r="E19" s="1">
        <v>1</v>
      </c>
      <c r="F19" s="1">
        <v>970</v>
      </c>
      <c r="G19" s="1">
        <v>970</v>
      </c>
      <c r="H19" s="1">
        <v>194</v>
      </c>
    </row>
    <row r="20" spans="1:8" x14ac:dyDescent="0.25">
      <c r="A20" s="2">
        <v>45202</v>
      </c>
      <c r="B20" s="1" t="s">
        <v>8</v>
      </c>
      <c r="C20" s="1" t="s">
        <v>16</v>
      </c>
      <c r="D20" s="1" t="s">
        <v>17</v>
      </c>
      <c r="E20" s="1">
        <v>10</v>
      </c>
      <c r="F20" s="1">
        <v>267</v>
      </c>
      <c r="G20" s="1">
        <v>2670</v>
      </c>
      <c r="H20" s="1">
        <v>534</v>
      </c>
    </row>
    <row r="21" spans="1:8" x14ac:dyDescent="0.25">
      <c r="A21" s="2">
        <v>45170</v>
      </c>
      <c r="B21" s="1" t="s">
        <v>15</v>
      </c>
      <c r="C21" s="1" t="s">
        <v>13</v>
      </c>
      <c r="D21" s="1" t="s">
        <v>21</v>
      </c>
      <c r="E21" s="1">
        <v>17</v>
      </c>
      <c r="F21" s="1">
        <v>318</v>
      </c>
      <c r="G21" s="1">
        <v>5406</v>
      </c>
      <c r="H21" s="1">
        <v>1081.2</v>
      </c>
    </row>
    <row r="22" spans="1:8" x14ac:dyDescent="0.25">
      <c r="A22" s="2">
        <v>45017</v>
      </c>
      <c r="B22" s="1" t="s">
        <v>8</v>
      </c>
      <c r="C22" s="1" t="s">
        <v>16</v>
      </c>
      <c r="D22" s="1" t="s">
        <v>10</v>
      </c>
      <c r="E22" s="1">
        <v>7</v>
      </c>
      <c r="F22" s="1">
        <v>164</v>
      </c>
      <c r="G22" s="1">
        <v>1148</v>
      </c>
      <c r="H22" s="1">
        <v>229.6</v>
      </c>
    </row>
    <row r="23" spans="1:8" x14ac:dyDescent="0.25">
      <c r="A23" s="2">
        <v>45177</v>
      </c>
      <c r="B23" s="1" t="s">
        <v>12</v>
      </c>
      <c r="C23" s="1" t="s">
        <v>11</v>
      </c>
      <c r="D23" s="1" t="s">
        <v>21</v>
      </c>
      <c r="E23" s="1">
        <v>16</v>
      </c>
      <c r="F23" s="1">
        <v>617</v>
      </c>
      <c r="G23" s="1">
        <v>9872</v>
      </c>
      <c r="H23" s="1">
        <v>1974.4</v>
      </c>
    </row>
    <row r="24" spans="1:8" x14ac:dyDescent="0.25">
      <c r="A24" s="2">
        <v>45046</v>
      </c>
      <c r="B24" s="1" t="s">
        <v>12</v>
      </c>
      <c r="C24" s="1" t="s">
        <v>13</v>
      </c>
      <c r="D24" s="1" t="s">
        <v>10</v>
      </c>
      <c r="E24" s="1">
        <v>13</v>
      </c>
      <c r="F24" s="1">
        <v>281</v>
      </c>
      <c r="G24" s="1">
        <v>3653</v>
      </c>
      <c r="H24" s="1">
        <v>730.6</v>
      </c>
    </row>
    <row r="25" spans="1:8" x14ac:dyDescent="0.25">
      <c r="A25" s="2">
        <v>44952</v>
      </c>
      <c r="B25" s="1" t="s">
        <v>12</v>
      </c>
      <c r="C25" s="1" t="s">
        <v>13</v>
      </c>
      <c r="D25" s="1" t="s">
        <v>21</v>
      </c>
      <c r="E25" s="1">
        <v>13</v>
      </c>
      <c r="F25" s="1">
        <v>895</v>
      </c>
      <c r="G25" s="1">
        <v>11635</v>
      </c>
      <c r="H25" s="1">
        <v>2327</v>
      </c>
    </row>
    <row r="26" spans="1:8" x14ac:dyDescent="0.25">
      <c r="A26" s="2">
        <v>44963</v>
      </c>
      <c r="B26" s="1" t="s">
        <v>19</v>
      </c>
      <c r="C26" s="1" t="s">
        <v>13</v>
      </c>
      <c r="D26" s="1" t="s">
        <v>10</v>
      </c>
      <c r="E26" s="1">
        <v>10</v>
      </c>
      <c r="F26" s="1">
        <v>457</v>
      </c>
      <c r="G26" s="1">
        <v>4570</v>
      </c>
      <c r="H26" s="1">
        <v>914</v>
      </c>
    </row>
    <row r="27" spans="1:8" x14ac:dyDescent="0.25">
      <c r="A27" s="2">
        <v>45178</v>
      </c>
      <c r="B27" s="1" t="s">
        <v>12</v>
      </c>
      <c r="C27" s="1" t="s">
        <v>9</v>
      </c>
      <c r="D27" s="1" t="s">
        <v>17</v>
      </c>
      <c r="E27" s="1">
        <v>8</v>
      </c>
      <c r="F27" s="1">
        <v>945</v>
      </c>
      <c r="G27" s="1">
        <v>7560</v>
      </c>
      <c r="H27" s="1">
        <v>1512</v>
      </c>
    </row>
    <row r="28" spans="1:8" x14ac:dyDescent="0.25">
      <c r="A28" s="2">
        <v>44970</v>
      </c>
      <c r="B28" s="1" t="s">
        <v>12</v>
      </c>
      <c r="C28" s="1" t="s">
        <v>13</v>
      </c>
      <c r="D28" s="1" t="s">
        <v>18</v>
      </c>
      <c r="E28" s="1">
        <v>9</v>
      </c>
      <c r="F28" s="1">
        <v>873</v>
      </c>
      <c r="G28" s="1">
        <v>7857</v>
      </c>
      <c r="H28" s="1">
        <v>1571.4</v>
      </c>
    </row>
    <row r="29" spans="1:8" x14ac:dyDescent="0.25">
      <c r="A29" s="2">
        <v>45282</v>
      </c>
      <c r="B29" s="1" t="s">
        <v>19</v>
      </c>
      <c r="C29" s="1" t="s">
        <v>13</v>
      </c>
      <c r="D29" s="1" t="s">
        <v>10</v>
      </c>
      <c r="E29" s="1">
        <v>17</v>
      </c>
      <c r="F29" s="1">
        <v>828</v>
      </c>
      <c r="G29" s="1">
        <v>14076</v>
      </c>
      <c r="H29" s="1">
        <v>2815.2</v>
      </c>
    </row>
    <row r="30" spans="1:8" x14ac:dyDescent="0.25">
      <c r="A30" s="2">
        <v>45247</v>
      </c>
      <c r="B30" s="1" t="s">
        <v>15</v>
      </c>
      <c r="C30" s="1" t="s">
        <v>13</v>
      </c>
      <c r="D30" s="1" t="s">
        <v>18</v>
      </c>
      <c r="E30" s="1">
        <v>16</v>
      </c>
      <c r="F30" s="1">
        <v>515</v>
      </c>
      <c r="G30" s="1">
        <v>8240</v>
      </c>
      <c r="H30" s="1">
        <v>1648</v>
      </c>
    </row>
    <row r="31" spans="1:8" x14ac:dyDescent="0.25">
      <c r="A31" s="2">
        <v>45177</v>
      </c>
      <c r="B31" s="1" t="s">
        <v>12</v>
      </c>
      <c r="C31" s="1" t="s">
        <v>13</v>
      </c>
      <c r="D31" s="1" t="s">
        <v>14</v>
      </c>
      <c r="E31" s="1">
        <v>2</v>
      </c>
      <c r="F31" s="1">
        <v>918</v>
      </c>
      <c r="G31" s="1">
        <v>1836</v>
      </c>
      <c r="H31" s="1">
        <v>367.2</v>
      </c>
    </row>
    <row r="36" spans="1:8" x14ac:dyDescent="0.25">
      <c r="A36" s="12" t="s">
        <v>175</v>
      </c>
      <c r="B36" t="s">
        <v>177</v>
      </c>
      <c r="E36" s="12" t="s">
        <v>175</v>
      </c>
      <c r="F36" s="10" t="s">
        <v>177</v>
      </c>
      <c r="G36" s="10" t="s">
        <v>178</v>
      </c>
    </row>
    <row r="37" spans="1:8" x14ac:dyDescent="0.25">
      <c r="A37" s="13" t="s">
        <v>19</v>
      </c>
      <c r="B37" s="14">
        <v>45230</v>
      </c>
      <c r="E37" s="13" t="s">
        <v>11</v>
      </c>
      <c r="F37" s="14">
        <v>32796</v>
      </c>
      <c r="G37" s="14">
        <v>6559.2000000000007</v>
      </c>
    </row>
    <row r="38" spans="1:8" x14ac:dyDescent="0.25">
      <c r="A38" s="13" t="s">
        <v>15</v>
      </c>
      <c r="B38" s="14">
        <v>55780</v>
      </c>
      <c r="C38" t="s">
        <v>196</v>
      </c>
      <c r="E38" s="13" t="s">
        <v>9</v>
      </c>
      <c r="F38" s="14">
        <v>57952</v>
      </c>
      <c r="G38" s="14">
        <v>11590.4</v>
      </c>
      <c r="H38" t="s">
        <v>195</v>
      </c>
    </row>
    <row r="39" spans="1:8" x14ac:dyDescent="0.25">
      <c r="A39" s="13" t="s">
        <v>12</v>
      </c>
      <c r="B39" s="14">
        <v>90109</v>
      </c>
      <c r="E39" s="13" t="s">
        <v>20</v>
      </c>
      <c r="F39" s="14">
        <v>11790</v>
      </c>
      <c r="G39" s="14">
        <v>2358</v>
      </c>
    </row>
    <row r="40" spans="1:8" x14ac:dyDescent="0.25">
      <c r="A40" s="13" t="s">
        <v>8</v>
      </c>
      <c r="B40" s="14">
        <v>30719</v>
      </c>
      <c r="E40" s="13" t="s">
        <v>16</v>
      </c>
      <c r="F40" s="14">
        <v>15208</v>
      </c>
      <c r="G40" s="14">
        <v>3041.6</v>
      </c>
    </row>
    <row r="41" spans="1:8" x14ac:dyDescent="0.25">
      <c r="A41" s="13" t="s">
        <v>176</v>
      </c>
      <c r="B41" s="14">
        <v>221838</v>
      </c>
      <c r="E41" s="13" t="s">
        <v>13</v>
      </c>
      <c r="F41" s="14">
        <v>104092</v>
      </c>
      <c r="G41" s="14">
        <v>20818.400000000001</v>
      </c>
    </row>
    <row r="42" spans="1:8" x14ac:dyDescent="0.25">
      <c r="E42" s="13" t="s">
        <v>176</v>
      </c>
      <c r="F42" s="14">
        <v>221838</v>
      </c>
      <c r="G42" s="14">
        <v>44367.6</v>
      </c>
    </row>
    <row r="45" spans="1:8" x14ac:dyDescent="0.25">
      <c r="A45" s="12" t="s">
        <v>175</v>
      </c>
      <c r="B45" t="s">
        <v>179</v>
      </c>
      <c r="E45" s="12" t="s">
        <v>175</v>
      </c>
      <c r="F45" t="s">
        <v>177</v>
      </c>
    </row>
    <row r="46" spans="1:8" x14ac:dyDescent="0.25">
      <c r="A46" s="13" t="s">
        <v>180</v>
      </c>
      <c r="B46" s="14">
        <v>14</v>
      </c>
      <c r="C46" t="s">
        <v>194</v>
      </c>
      <c r="E46" s="13" t="s">
        <v>18</v>
      </c>
      <c r="F46" s="14">
        <v>59194</v>
      </c>
      <c r="G46" t="s">
        <v>192</v>
      </c>
    </row>
    <row r="47" spans="1:8" x14ac:dyDescent="0.25">
      <c r="A47" s="13" t="s">
        <v>181</v>
      </c>
      <c r="B47" s="14">
        <v>46</v>
      </c>
      <c r="E47" s="13" t="s">
        <v>21</v>
      </c>
      <c r="F47" s="14">
        <v>56768</v>
      </c>
    </row>
    <row r="48" spans="1:8" x14ac:dyDescent="0.25">
      <c r="A48" s="13" t="s">
        <v>182</v>
      </c>
      <c r="B48" s="14">
        <v>29</v>
      </c>
      <c r="E48" s="13" t="s">
        <v>10</v>
      </c>
      <c r="F48" s="14">
        <v>53895</v>
      </c>
    </row>
    <row r="49" spans="1:7" x14ac:dyDescent="0.25">
      <c r="A49" s="13" t="s">
        <v>183</v>
      </c>
      <c r="B49" s="14">
        <v>63</v>
      </c>
      <c r="E49" s="13" t="s">
        <v>14</v>
      </c>
      <c r="F49" s="14">
        <v>34141</v>
      </c>
    </row>
    <row r="50" spans="1:7" x14ac:dyDescent="0.25">
      <c r="A50" s="13" t="s">
        <v>184</v>
      </c>
      <c r="B50" s="14">
        <v>4</v>
      </c>
      <c r="E50" s="13" t="s">
        <v>17</v>
      </c>
      <c r="F50" s="14">
        <v>17840</v>
      </c>
    </row>
    <row r="51" spans="1:7" x14ac:dyDescent="0.25">
      <c r="A51" s="13" t="s">
        <v>185</v>
      </c>
      <c r="B51" s="14">
        <v>4</v>
      </c>
      <c r="E51" s="13" t="s">
        <v>176</v>
      </c>
      <c r="F51" s="14">
        <v>221838</v>
      </c>
    </row>
    <row r="52" spans="1:7" x14ac:dyDescent="0.25">
      <c r="A52" s="13" t="s">
        <v>186</v>
      </c>
      <c r="B52" s="14">
        <v>31</v>
      </c>
    </row>
    <row r="53" spans="1:7" x14ac:dyDescent="0.25">
      <c r="A53" s="13" t="s">
        <v>187</v>
      </c>
      <c r="B53" s="14">
        <v>46</v>
      </c>
      <c r="E53" s="12" t="s">
        <v>175</v>
      </c>
      <c r="F53" t="s">
        <v>177</v>
      </c>
    </row>
    <row r="54" spans="1:7" x14ac:dyDescent="0.25">
      <c r="A54" s="13" t="s">
        <v>188</v>
      </c>
      <c r="B54" s="14">
        <v>43</v>
      </c>
      <c r="E54" s="13" t="s">
        <v>13</v>
      </c>
      <c r="F54" s="14">
        <v>104092</v>
      </c>
      <c r="G54" t="s">
        <v>193</v>
      </c>
    </row>
    <row r="55" spans="1:7" x14ac:dyDescent="0.25">
      <c r="A55" s="13" t="s">
        <v>189</v>
      </c>
      <c r="B55" s="14">
        <v>10</v>
      </c>
      <c r="E55" s="13" t="s">
        <v>9</v>
      </c>
      <c r="F55" s="14">
        <v>57952</v>
      </c>
    </row>
    <row r="56" spans="1:7" x14ac:dyDescent="0.25">
      <c r="A56" s="13" t="s">
        <v>190</v>
      </c>
      <c r="B56" s="14">
        <v>36</v>
      </c>
      <c r="E56" s="13" t="s">
        <v>11</v>
      </c>
      <c r="F56" s="14">
        <v>32796</v>
      </c>
    </row>
    <row r="57" spans="1:7" x14ac:dyDescent="0.25">
      <c r="A57" s="13" t="s">
        <v>191</v>
      </c>
      <c r="B57" s="14">
        <v>29</v>
      </c>
      <c r="E57" s="13" t="s">
        <v>16</v>
      </c>
      <c r="F57" s="14">
        <v>15208</v>
      </c>
    </row>
    <row r="58" spans="1:7" x14ac:dyDescent="0.25">
      <c r="A58" s="13" t="s">
        <v>176</v>
      </c>
      <c r="B58" s="14">
        <v>355</v>
      </c>
      <c r="E58" s="13" t="s">
        <v>20</v>
      </c>
      <c r="F58" s="14">
        <v>11790</v>
      </c>
    </row>
    <row r="59" spans="1:7" x14ac:dyDescent="0.25">
      <c r="E59" s="13" t="s">
        <v>176</v>
      </c>
      <c r="F59" s="14">
        <v>221838</v>
      </c>
    </row>
  </sheetData>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44126-1D77-43DB-9C8B-ACBFF579B8C7}">
  <dimension ref="A1:H114"/>
  <sheetViews>
    <sheetView topLeftCell="A32" workbookViewId="0">
      <selection activeCell="D47" sqref="D47"/>
    </sheetView>
  </sheetViews>
  <sheetFormatPr defaultRowHeight="15" x14ac:dyDescent="0.25"/>
  <cols>
    <col min="1" max="1" width="13.140625" bestFit="1" customWidth="1"/>
    <col min="2" max="2" width="20.42578125" bestFit="1" customWidth="1"/>
    <col min="3" max="3" width="12.85546875" bestFit="1" customWidth="1"/>
    <col min="4" max="4" width="17" bestFit="1" customWidth="1"/>
    <col min="5" max="5" width="13.140625" bestFit="1" customWidth="1"/>
    <col min="6" max="6" width="20.42578125" bestFit="1" customWidth="1"/>
    <col min="7" max="7" width="11" customWidth="1"/>
    <col min="8" max="12" width="5" bestFit="1" customWidth="1"/>
    <col min="13" max="13" width="11.28515625" bestFit="1" customWidth="1"/>
    <col min="14" max="35" width="6" bestFit="1" customWidth="1"/>
    <col min="36" max="36" width="11.28515625" bestFit="1" customWidth="1"/>
  </cols>
  <sheetData>
    <row r="1" spans="1:8" x14ac:dyDescent="0.25">
      <c r="A1" s="3" t="s">
        <v>22</v>
      </c>
      <c r="B1" s="3" t="s">
        <v>23</v>
      </c>
      <c r="C1" s="3" t="s">
        <v>24</v>
      </c>
      <c r="D1" s="3" t="s">
        <v>25</v>
      </c>
      <c r="E1" s="3" t="s">
        <v>26</v>
      </c>
      <c r="F1" s="3" t="s">
        <v>27</v>
      </c>
      <c r="G1" s="3" t="s">
        <v>28</v>
      </c>
      <c r="H1" s="3" t="s">
        <v>29</v>
      </c>
    </row>
    <row r="2" spans="1:8" x14ac:dyDescent="0.25">
      <c r="A2" s="4" t="s">
        <v>30</v>
      </c>
      <c r="B2" s="4" t="s">
        <v>31</v>
      </c>
      <c r="C2" s="4" t="s">
        <v>32</v>
      </c>
      <c r="D2" s="4">
        <v>48</v>
      </c>
      <c r="E2" s="5">
        <v>44956</v>
      </c>
      <c r="F2" s="5">
        <v>45442</v>
      </c>
      <c r="G2" s="4" t="s">
        <v>33</v>
      </c>
      <c r="H2" s="4">
        <v>57360</v>
      </c>
    </row>
    <row r="3" spans="1:8" x14ac:dyDescent="0.25">
      <c r="A3" s="4" t="s">
        <v>34</v>
      </c>
      <c r="B3" s="4" t="s">
        <v>35</v>
      </c>
      <c r="C3" s="4" t="s">
        <v>32</v>
      </c>
      <c r="D3" s="4">
        <v>44</v>
      </c>
      <c r="E3" s="5">
        <v>44961</v>
      </c>
      <c r="F3" s="5">
        <v>45625</v>
      </c>
      <c r="G3" s="4" t="s">
        <v>33</v>
      </c>
      <c r="H3" s="4">
        <v>39014</v>
      </c>
    </row>
    <row r="4" spans="1:8" x14ac:dyDescent="0.25">
      <c r="A4" s="4" t="s">
        <v>36</v>
      </c>
      <c r="B4" s="4" t="s">
        <v>35</v>
      </c>
      <c r="C4" s="4" t="s">
        <v>37</v>
      </c>
      <c r="D4" s="4">
        <v>44</v>
      </c>
      <c r="E4" s="5">
        <v>44534</v>
      </c>
      <c r="F4" s="4"/>
      <c r="G4" s="4" t="s">
        <v>38</v>
      </c>
      <c r="H4" s="4">
        <v>30083</v>
      </c>
    </row>
    <row r="5" spans="1:8" x14ac:dyDescent="0.25">
      <c r="A5" s="4" t="s">
        <v>39</v>
      </c>
      <c r="B5" s="4" t="s">
        <v>31</v>
      </c>
      <c r="C5" s="4" t="s">
        <v>37</v>
      </c>
      <c r="D5" s="4">
        <v>23</v>
      </c>
      <c r="E5" s="5">
        <v>44320</v>
      </c>
      <c r="F5" s="5">
        <v>45176</v>
      </c>
      <c r="G5" s="4" t="s">
        <v>33</v>
      </c>
      <c r="H5" s="4">
        <v>71032</v>
      </c>
    </row>
    <row r="6" spans="1:8" x14ac:dyDescent="0.25">
      <c r="A6" s="4" t="s">
        <v>40</v>
      </c>
      <c r="B6" s="4" t="s">
        <v>35</v>
      </c>
      <c r="C6" s="4" t="s">
        <v>32</v>
      </c>
      <c r="D6" s="4">
        <v>48</v>
      </c>
      <c r="E6" s="5">
        <v>44648</v>
      </c>
      <c r="F6" s="4"/>
      <c r="G6" s="4" t="s">
        <v>38</v>
      </c>
      <c r="H6" s="4">
        <v>46427</v>
      </c>
    </row>
    <row r="7" spans="1:8" x14ac:dyDescent="0.25">
      <c r="A7" s="4" t="s">
        <v>41</v>
      </c>
      <c r="B7" s="4" t="s">
        <v>35</v>
      </c>
      <c r="C7" s="4" t="s">
        <v>32</v>
      </c>
      <c r="D7" s="4">
        <v>36</v>
      </c>
      <c r="E7" s="5">
        <v>45000</v>
      </c>
      <c r="F7" s="5">
        <v>45614</v>
      </c>
      <c r="G7" s="4" t="s">
        <v>33</v>
      </c>
      <c r="H7" s="4">
        <v>104801</v>
      </c>
    </row>
    <row r="8" spans="1:8" x14ac:dyDescent="0.25">
      <c r="A8" s="4" t="s">
        <v>42</v>
      </c>
      <c r="B8" s="4" t="s">
        <v>43</v>
      </c>
      <c r="C8" s="4" t="s">
        <v>37</v>
      </c>
      <c r="D8" s="4">
        <v>31</v>
      </c>
      <c r="E8" s="5">
        <v>45003</v>
      </c>
      <c r="F8" s="5">
        <v>45668</v>
      </c>
      <c r="G8" s="4" t="s">
        <v>33</v>
      </c>
      <c r="H8" s="4">
        <v>63913</v>
      </c>
    </row>
    <row r="9" spans="1:8" x14ac:dyDescent="0.25">
      <c r="A9" s="4" t="s">
        <v>44</v>
      </c>
      <c r="B9" s="4" t="s">
        <v>31</v>
      </c>
      <c r="C9" s="4" t="s">
        <v>37</v>
      </c>
      <c r="D9" s="4">
        <v>39</v>
      </c>
      <c r="E9" s="5">
        <v>43867</v>
      </c>
      <c r="F9" s="4"/>
      <c r="G9" s="4" t="s">
        <v>38</v>
      </c>
      <c r="H9" s="4">
        <v>79964</v>
      </c>
    </row>
    <row r="10" spans="1:8" x14ac:dyDescent="0.25">
      <c r="A10" s="4" t="s">
        <v>45</v>
      </c>
      <c r="B10" s="4" t="s">
        <v>46</v>
      </c>
      <c r="C10" s="4" t="s">
        <v>37</v>
      </c>
      <c r="D10" s="4">
        <v>41</v>
      </c>
      <c r="E10" s="5">
        <v>44395</v>
      </c>
      <c r="F10" s="5">
        <v>45042</v>
      </c>
      <c r="G10" s="4" t="s">
        <v>33</v>
      </c>
      <c r="H10" s="4">
        <v>71187</v>
      </c>
    </row>
    <row r="11" spans="1:8" x14ac:dyDescent="0.25">
      <c r="A11" s="4" t="s">
        <v>47</v>
      </c>
      <c r="B11" s="4" t="s">
        <v>43</v>
      </c>
      <c r="C11" s="4" t="s">
        <v>37</v>
      </c>
      <c r="D11" s="4">
        <v>33</v>
      </c>
      <c r="E11" s="5">
        <v>44160</v>
      </c>
      <c r="F11" s="5">
        <v>44520</v>
      </c>
      <c r="G11" s="4" t="s">
        <v>33</v>
      </c>
      <c r="H11" s="4">
        <v>85778</v>
      </c>
    </row>
    <row r="12" spans="1:8" x14ac:dyDescent="0.25">
      <c r="A12" s="4" t="s">
        <v>48</v>
      </c>
      <c r="B12" s="4" t="s">
        <v>49</v>
      </c>
      <c r="C12" s="4" t="s">
        <v>32</v>
      </c>
      <c r="D12" s="4">
        <v>44</v>
      </c>
      <c r="E12" s="5">
        <v>45279</v>
      </c>
      <c r="F12" s="5">
        <v>45887</v>
      </c>
      <c r="G12" s="4" t="s">
        <v>33</v>
      </c>
      <c r="H12" s="4">
        <v>38642</v>
      </c>
    </row>
    <row r="13" spans="1:8" x14ac:dyDescent="0.25">
      <c r="A13" s="4" t="s">
        <v>50</v>
      </c>
      <c r="B13" s="4" t="s">
        <v>43</v>
      </c>
      <c r="C13" s="4" t="s">
        <v>37</v>
      </c>
      <c r="D13" s="4">
        <v>39</v>
      </c>
      <c r="E13" s="5">
        <v>44960</v>
      </c>
      <c r="F13" s="5">
        <v>45491</v>
      </c>
      <c r="G13" s="4" t="s">
        <v>33</v>
      </c>
      <c r="H13" s="4">
        <v>52972</v>
      </c>
    </row>
    <row r="14" spans="1:8" x14ac:dyDescent="0.25">
      <c r="A14" s="4" t="s">
        <v>51</v>
      </c>
      <c r="B14" s="4" t="s">
        <v>49</v>
      </c>
      <c r="C14" s="4" t="s">
        <v>37</v>
      </c>
      <c r="D14" s="4">
        <v>49</v>
      </c>
      <c r="E14" s="5">
        <v>44227</v>
      </c>
      <c r="F14" s="5">
        <v>44318</v>
      </c>
      <c r="G14" s="4" t="s">
        <v>33</v>
      </c>
      <c r="H14" s="4">
        <v>105379</v>
      </c>
    </row>
    <row r="15" spans="1:8" x14ac:dyDescent="0.25">
      <c r="A15" s="4" t="s">
        <v>52</v>
      </c>
      <c r="B15" s="4" t="s">
        <v>35</v>
      </c>
      <c r="C15" s="4" t="s">
        <v>37</v>
      </c>
      <c r="D15" s="4">
        <v>34</v>
      </c>
      <c r="E15" s="5">
        <v>45119</v>
      </c>
      <c r="F15" s="4"/>
      <c r="G15" s="4" t="s">
        <v>38</v>
      </c>
      <c r="H15" s="4">
        <v>107731</v>
      </c>
    </row>
    <row r="16" spans="1:8" x14ac:dyDescent="0.25">
      <c r="A16" s="4" t="s">
        <v>53</v>
      </c>
      <c r="B16" s="4" t="s">
        <v>35</v>
      </c>
      <c r="C16" s="4" t="s">
        <v>37</v>
      </c>
      <c r="D16" s="4">
        <v>27</v>
      </c>
      <c r="E16" s="5">
        <v>44299</v>
      </c>
      <c r="F16" s="4"/>
      <c r="G16" s="4" t="s">
        <v>38</v>
      </c>
      <c r="H16" s="4">
        <v>32559</v>
      </c>
    </row>
    <row r="17" spans="1:8" x14ac:dyDescent="0.25">
      <c r="A17" s="4" t="s">
        <v>54</v>
      </c>
      <c r="B17" s="4" t="s">
        <v>43</v>
      </c>
      <c r="C17" s="4" t="s">
        <v>32</v>
      </c>
      <c r="D17" s="4">
        <v>44</v>
      </c>
      <c r="E17" s="5">
        <v>43882</v>
      </c>
      <c r="F17" s="5">
        <v>44477</v>
      </c>
      <c r="G17" s="4" t="s">
        <v>33</v>
      </c>
      <c r="H17" s="4">
        <v>55865</v>
      </c>
    </row>
    <row r="18" spans="1:8" x14ac:dyDescent="0.25">
      <c r="A18" s="4" t="s">
        <v>55</v>
      </c>
      <c r="B18" s="4" t="s">
        <v>43</v>
      </c>
      <c r="C18" s="4" t="s">
        <v>37</v>
      </c>
      <c r="D18" s="4">
        <v>25</v>
      </c>
      <c r="E18" s="5">
        <v>44776</v>
      </c>
      <c r="F18" s="5">
        <v>44949</v>
      </c>
      <c r="G18" s="4" t="s">
        <v>33</v>
      </c>
      <c r="H18" s="4">
        <v>98094</v>
      </c>
    </row>
    <row r="19" spans="1:8" x14ac:dyDescent="0.25">
      <c r="A19" s="4" t="s">
        <v>56</v>
      </c>
      <c r="B19" s="4" t="s">
        <v>46</v>
      </c>
      <c r="C19" s="4" t="s">
        <v>32</v>
      </c>
      <c r="D19" s="4">
        <v>33</v>
      </c>
      <c r="E19" s="5">
        <v>44436</v>
      </c>
      <c r="F19" s="4"/>
      <c r="G19" s="4" t="s">
        <v>38</v>
      </c>
      <c r="H19" s="4">
        <v>90546</v>
      </c>
    </row>
    <row r="20" spans="1:8" x14ac:dyDescent="0.25">
      <c r="A20" s="4" t="s">
        <v>57</v>
      </c>
      <c r="B20" s="4" t="s">
        <v>46</v>
      </c>
      <c r="C20" s="4" t="s">
        <v>37</v>
      </c>
      <c r="D20" s="4">
        <v>22</v>
      </c>
      <c r="E20" s="5">
        <v>43852</v>
      </c>
      <c r="F20" s="5">
        <v>44563</v>
      </c>
      <c r="G20" s="4" t="s">
        <v>33</v>
      </c>
      <c r="H20" s="4">
        <v>34566</v>
      </c>
    </row>
    <row r="21" spans="1:8" x14ac:dyDescent="0.25">
      <c r="A21" s="4" t="s">
        <v>58</v>
      </c>
      <c r="B21" s="4" t="s">
        <v>46</v>
      </c>
      <c r="C21" s="4" t="s">
        <v>32</v>
      </c>
      <c r="D21" s="4">
        <v>24</v>
      </c>
      <c r="E21" s="5">
        <v>44129</v>
      </c>
      <c r="F21" s="5">
        <v>44545</v>
      </c>
      <c r="G21" s="4" t="s">
        <v>33</v>
      </c>
      <c r="H21" s="4">
        <v>105366</v>
      </c>
    </row>
    <row r="22" spans="1:8" x14ac:dyDescent="0.25">
      <c r="A22" s="4" t="s">
        <v>59</v>
      </c>
      <c r="B22" s="4" t="s">
        <v>31</v>
      </c>
      <c r="C22" s="4" t="s">
        <v>32</v>
      </c>
      <c r="D22" s="4">
        <v>30</v>
      </c>
      <c r="E22" s="5">
        <v>44624</v>
      </c>
      <c r="F22" s="4"/>
      <c r="G22" s="4" t="s">
        <v>38</v>
      </c>
      <c r="H22" s="4">
        <v>63032</v>
      </c>
    </row>
    <row r="23" spans="1:8" x14ac:dyDescent="0.25">
      <c r="A23" s="4" t="s">
        <v>60</v>
      </c>
      <c r="B23" s="4" t="s">
        <v>35</v>
      </c>
      <c r="C23" s="4" t="s">
        <v>37</v>
      </c>
      <c r="D23" s="4">
        <v>29</v>
      </c>
      <c r="E23" s="5">
        <v>44464</v>
      </c>
      <c r="F23" s="4"/>
      <c r="G23" s="4" t="s">
        <v>38</v>
      </c>
      <c r="H23" s="4">
        <v>65831</v>
      </c>
    </row>
    <row r="24" spans="1:8" x14ac:dyDescent="0.25">
      <c r="A24" s="4" t="s">
        <v>61</v>
      </c>
      <c r="B24" s="4" t="s">
        <v>46</v>
      </c>
      <c r="C24" s="4" t="s">
        <v>37</v>
      </c>
      <c r="D24" s="4">
        <v>46</v>
      </c>
      <c r="E24" s="5">
        <v>44898</v>
      </c>
      <c r="F24" s="5">
        <v>45264</v>
      </c>
      <c r="G24" s="4" t="s">
        <v>33</v>
      </c>
      <c r="H24" s="4">
        <v>34892</v>
      </c>
    </row>
    <row r="25" spans="1:8" x14ac:dyDescent="0.25">
      <c r="A25" s="4" t="s">
        <v>62</v>
      </c>
      <c r="B25" s="4" t="s">
        <v>49</v>
      </c>
      <c r="C25" s="4" t="s">
        <v>32</v>
      </c>
      <c r="D25" s="4">
        <v>31</v>
      </c>
      <c r="E25" s="5">
        <v>43884</v>
      </c>
      <c r="F25" s="4"/>
      <c r="G25" s="4" t="s">
        <v>38</v>
      </c>
      <c r="H25" s="4">
        <v>31149</v>
      </c>
    </row>
    <row r="26" spans="1:8" x14ac:dyDescent="0.25">
      <c r="A26" s="4" t="s">
        <v>63</v>
      </c>
      <c r="B26" s="4" t="s">
        <v>43</v>
      </c>
      <c r="C26" s="4" t="s">
        <v>32</v>
      </c>
      <c r="D26" s="4">
        <v>41</v>
      </c>
      <c r="E26" s="5">
        <v>45208</v>
      </c>
      <c r="F26" s="5">
        <v>45449</v>
      </c>
      <c r="G26" s="4" t="s">
        <v>33</v>
      </c>
      <c r="H26" s="4">
        <v>42901</v>
      </c>
    </row>
    <row r="27" spans="1:8" x14ac:dyDescent="0.25">
      <c r="A27" s="4" t="s">
        <v>64</v>
      </c>
      <c r="B27" s="4" t="s">
        <v>49</v>
      </c>
      <c r="C27" s="4" t="s">
        <v>37</v>
      </c>
      <c r="D27" s="4">
        <v>41</v>
      </c>
      <c r="E27" s="5">
        <v>45147</v>
      </c>
      <c r="F27" s="4"/>
      <c r="G27" s="4" t="s">
        <v>38</v>
      </c>
      <c r="H27" s="4">
        <v>84454</v>
      </c>
    </row>
    <row r="28" spans="1:8" x14ac:dyDescent="0.25">
      <c r="A28" s="4" t="s">
        <v>65</v>
      </c>
      <c r="B28" s="4" t="s">
        <v>49</v>
      </c>
      <c r="C28" s="4" t="s">
        <v>32</v>
      </c>
      <c r="D28" s="4">
        <v>32</v>
      </c>
      <c r="E28" s="5">
        <v>44601</v>
      </c>
      <c r="F28" s="5">
        <v>45366</v>
      </c>
      <c r="G28" s="4" t="s">
        <v>33</v>
      </c>
      <c r="H28" s="4">
        <v>57114</v>
      </c>
    </row>
    <row r="29" spans="1:8" x14ac:dyDescent="0.25">
      <c r="A29" s="4" t="s">
        <v>66</v>
      </c>
      <c r="B29" s="4" t="s">
        <v>43</v>
      </c>
      <c r="C29" s="4" t="s">
        <v>37</v>
      </c>
      <c r="D29" s="4">
        <v>37</v>
      </c>
      <c r="E29" s="5">
        <v>45179</v>
      </c>
      <c r="F29" s="5">
        <v>45718</v>
      </c>
      <c r="G29" s="4" t="s">
        <v>33</v>
      </c>
      <c r="H29" s="4">
        <v>64488</v>
      </c>
    </row>
    <row r="30" spans="1:8" x14ac:dyDescent="0.25">
      <c r="A30" s="4" t="s">
        <v>67</v>
      </c>
      <c r="B30" s="4" t="s">
        <v>49</v>
      </c>
      <c r="C30" s="4" t="s">
        <v>32</v>
      </c>
      <c r="D30" s="4">
        <v>41</v>
      </c>
      <c r="E30" s="5">
        <v>44739</v>
      </c>
      <c r="F30" s="5">
        <v>45289</v>
      </c>
      <c r="G30" s="4" t="s">
        <v>33</v>
      </c>
      <c r="H30" s="4">
        <v>89017</v>
      </c>
    </row>
    <row r="31" spans="1:8" x14ac:dyDescent="0.25">
      <c r="A31" s="4" t="s">
        <v>68</v>
      </c>
      <c r="B31" s="4" t="s">
        <v>43</v>
      </c>
      <c r="C31" s="4" t="s">
        <v>37</v>
      </c>
      <c r="D31" s="4">
        <v>28</v>
      </c>
      <c r="E31" s="5">
        <v>45210</v>
      </c>
      <c r="F31" s="5">
        <v>46054</v>
      </c>
      <c r="G31" s="4" t="s">
        <v>33</v>
      </c>
      <c r="H31" s="4">
        <v>105619</v>
      </c>
    </row>
    <row r="33" spans="1:7" x14ac:dyDescent="0.25">
      <c r="A33" s="12" t="s">
        <v>28</v>
      </c>
      <c r="B33" s="10" t="s">
        <v>38</v>
      </c>
    </row>
    <row r="34" spans="1:7" x14ac:dyDescent="0.25">
      <c r="D34" s="10"/>
      <c r="E34" s="10"/>
    </row>
    <row r="35" spans="1:7" x14ac:dyDescent="0.25">
      <c r="A35" s="12" t="s">
        <v>175</v>
      </c>
      <c r="B35" t="s">
        <v>198</v>
      </c>
      <c r="D35" s="12" t="s">
        <v>208</v>
      </c>
      <c r="E35" s="12" t="s">
        <v>197</v>
      </c>
    </row>
    <row r="36" spans="1:7" x14ac:dyDescent="0.25">
      <c r="A36" s="13" t="s">
        <v>31</v>
      </c>
      <c r="B36" s="14">
        <v>2</v>
      </c>
      <c r="D36" s="12" t="s">
        <v>175</v>
      </c>
      <c r="E36" s="10" t="s">
        <v>32</v>
      </c>
      <c r="F36" s="10" t="s">
        <v>37</v>
      </c>
      <c r="G36" s="10" t="s">
        <v>176</v>
      </c>
    </row>
    <row r="37" spans="1:7" x14ac:dyDescent="0.25">
      <c r="A37" s="13" t="s">
        <v>35</v>
      </c>
      <c r="B37" s="14">
        <v>5</v>
      </c>
      <c r="D37" s="13" t="s">
        <v>43</v>
      </c>
      <c r="E37" s="14">
        <v>2</v>
      </c>
      <c r="F37" s="14">
        <v>6</v>
      </c>
      <c r="G37" s="14">
        <v>8</v>
      </c>
    </row>
    <row r="38" spans="1:7" x14ac:dyDescent="0.25">
      <c r="A38" s="13" t="s">
        <v>46</v>
      </c>
      <c r="B38" s="14">
        <v>1</v>
      </c>
      <c r="D38" s="13" t="s">
        <v>31</v>
      </c>
      <c r="E38" s="14">
        <v>1</v>
      </c>
      <c r="F38" s="14">
        <v>1</v>
      </c>
      <c r="G38" s="14">
        <v>2</v>
      </c>
    </row>
    <row r="39" spans="1:7" x14ac:dyDescent="0.25">
      <c r="A39" s="13" t="s">
        <v>49</v>
      </c>
      <c r="B39" s="14">
        <v>2</v>
      </c>
      <c r="D39" s="13" t="s">
        <v>35</v>
      </c>
      <c r="E39" s="14">
        <v>2</v>
      </c>
      <c r="F39" s="14"/>
      <c r="G39" s="14">
        <v>2</v>
      </c>
    </row>
    <row r="40" spans="1:7" x14ac:dyDescent="0.25">
      <c r="A40" s="13" t="s">
        <v>176</v>
      </c>
      <c r="B40" s="14">
        <v>10</v>
      </c>
      <c r="D40" s="13" t="s">
        <v>46</v>
      </c>
      <c r="E40" s="14">
        <v>1</v>
      </c>
      <c r="F40" s="14">
        <v>3</v>
      </c>
      <c r="G40" s="14">
        <v>4</v>
      </c>
    </row>
    <row r="41" spans="1:7" x14ac:dyDescent="0.25">
      <c r="D41" s="13" t="s">
        <v>49</v>
      </c>
      <c r="E41" s="14">
        <v>3</v>
      </c>
      <c r="F41" s="14">
        <v>1</v>
      </c>
      <c r="G41" s="14">
        <v>4</v>
      </c>
    </row>
    <row r="42" spans="1:7" x14ac:dyDescent="0.25">
      <c r="D42" s="13" t="s">
        <v>176</v>
      </c>
      <c r="E42" s="14">
        <v>9</v>
      </c>
      <c r="F42" s="14">
        <v>11</v>
      </c>
      <c r="G42" s="14">
        <v>20</v>
      </c>
    </row>
    <row r="52" spans="1:6" x14ac:dyDescent="0.25">
      <c r="A52" s="10"/>
      <c r="B52" s="10"/>
    </row>
    <row r="53" spans="1:6" x14ac:dyDescent="0.25">
      <c r="A53" s="12" t="s">
        <v>175</v>
      </c>
      <c r="B53" s="10" t="s">
        <v>200</v>
      </c>
      <c r="C53" s="10" t="s">
        <v>199</v>
      </c>
      <c r="E53" s="12" t="s">
        <v>175</v>
      </c>
      <c r="F53" t="s">
        <v>198</v>
      </c>
    </row>
    <row r="54" spans="1:6" x14ac:dyDescent="0.25">
      <c r="A54" s="13" t="s">
        <v>43</v>
      </c>
      <c r="B54" s="14">
        <v>34.75</v>
      </c>
      <c r="C54" s="14">
        <v>569630</v>
      </c>
      <c r="E54" s="13" t="s">
        <v>30</v>
      </c>
      <c r="F54" s="14">
        <v>1</v>
      </c>
    </row>
    <row r="55" spans="1:6" x14ac:dyDescent="0.25">
      <c r="A55" s="13" t="s">
        <v>31</v>
      </c>
      <c r="B55" s="14">
        <v>35</v>
      </c>
      <c r="C55" s="14">
        <v>271388</v>
      </c>
      <c r="E55" s="15" t="s">
        <v>205</v>
      </c>
      <c r="F55" s="14">
        <v>1</v>
      </c>
    </row>
    <row r="56" spans="1:6" x14ac:dyDescent="0.25">
      <c r="A56" s="13" t="s">
        <v>35</v>
      </c>
      <c r="B56" s="14">
        <v>37.428571428571431</v>
      </c>
      <c r="C56" s="14">
        <v>426446</v>
      </c>
      <c r="E56" s="13" t="s">
        <v>34</v>
      </c>
      <c r="F56" s="14">
        <v>1</v>
      </c>
    </row>
    <row r="57" spans="1:6" x14ac:dyDescent="0.25">
      <c r="A57" s="13" t="s">
        <v>46</v>
      </c>
      <c r="B57" s="14">
        <v>33.200000000000003</v>
      </c>
      <c r="C57" s="14">
        <v>336557</v>
      </c>
      <c r="E57" s="15" t="s">
        <v>205</v>
      </c>
      <c r="F57" s="14">
        <v>1</v>
      </c>
    </row>
    <row r="58" spans="1:6" x14ac:dyDescent="0.25">
      <c r="A58" s="13" t="s">
        <v>49</v>
      </c>
      <c r="B58" s="14">
        <v>39.666666666666664</v>
      </c>
      <c r="C58" s="14">
        <v>405755</v>
      </c>
      <c r="E58" s="13" t="s">
        <v>36</v>
      </c>
      <c r="F58" s="14">
        <v>1</v>
      </c>
    </row>
    <row r="59" spans="1:6" x14ac:dyDescent="0.25">
      <c r="A59" s="13" t="s">
        <v>176</v>
      </c>
      <c r="B59" s="14">
        <v>36.133333333333333</v>
      </c>
      <c r="C59" s="14">
        <v>2009776</v>
      </c>
      <c r="E59" s="15" t="s">
        <v>201</v>
      </c>
      <c r="F59" s="14">
        <v>1</v>
      </c>
    </row>
    <row r="60" spans="1:6" x14ac:dyDescent="0.25">
      <c r="E60" s="13" t="s">
        <v>39</v>
      </c>
      <c r="F60" s="14">
        <v>1</v>
      </c>
    </row>
    <row r="61" spans="1:6" x14ac:dyDescent="0.25">
      <c r="E61" s="15" t="s">
        <v>204</v>
      </c>
      <c r="F61" s="14">
        <v>1</v>
      </c>
    </row>
    <row r="62" spans="1:6" x14ac:dyDescent="0.25">
      <c r="E62" s="13" t="s">
        <v>40</v>
      </c>
      <c r="F62" s="14">
        <v>1</v>
      </c>
    </row>
    <row r="63" spans="1:6" x14ac:dyDescent="0.25">
      <c r="A63" s="10"/>
      <c r="B63" s="10"/>
      <c r="E63" s="15" t="s">
        <v>201</v>
      </c>
      <c r="F63" s="14">
        <v>1</v>
      </c>
    </row>
    <row r="64" spans="1:6" x14ac:dyDescent="0.25">
      <c r="A64" s="12" t="s">
        <v>175</v>
      </c>
      <c r="B64" t="s">
        <v>198</v>
      </c>
      <c r="E64" s="13" t="s">
        <v>41</v>
      </c>
      <c r="F64" s="14">
        <v>1</v>
      </c>
    </row>
    <row r="65" spans="1:6" x14ac:dyDescent="0.25">
      <c r="A65" s="13" t="s">
        <v>32</v>
      </c>
      <c r="B65" s="14">
        <v>13</v>
      </c>
      <c r="E65" s="15" t="s">
        <v>205</v>
      </c>
      <c r="F65" s="14">
        <v>1</v>
      </c>
    </row>
    <row r="66" spans="1:6" x14ac:dyDescent="0.25">
      <c r="A66" s="13" t="s">
        <v>37</v>
      </c>
      <c r="B66" s="14">
        <v>17</v>
      </c>
      <c r="E66" s="13" t="s">
        <v>42</v>
      </c>
      <c r="F66" s="14">
        <v>1</v>
      </c>
    </row>
    <row r="67" spans="1:6" x14ac:dyDescent="0.25">
      <c r="A67" s="13" t="s">
        <v>176</v>
      </c>
      <c r="B67" s="14">
        <v>30</v>
      </c>
      <c r="E67" s="15" t="s">
        <v>206</v>
      </c>
      <c r="F67" s="14">
        <v>1</v>
      </c>
    </row>
    <row r="68" spans="1:6" x14ac:dyDescent="0.25">
      <c r="E68" s="13" t="s">
        <v>44</v>
      </c>
      <c r="F68" s="14">
        <v>1</v>
      </c>
    </row>
    <row r="69" spans="1:6" x14ac:dyDescent="0.25">
      <c r="E69" s="15" t="s">
        <v>201</v>
      </c>
      <c r="F69" s="14">
        <v>1</v>
      </c>
    </row>
    <row r="70" spans="1:6" x14ac:dyDescent="0.25">
      <c r="E70" s="13" t="s">
        <v>45</v>
      </c>
      <c r="F70" s="14">
        <v>1</v>
      </c>
    </row>
    <row r="71" spans="1:6" x14ac:dyDescent="0.25">
      <c r="E71" s="15" t="s">
        <v>204</v>
      </c>
      <c r="F71" s="14">
        <v>1</v>
      </c>
    </row>
    <row r="72" spans="1:6" x14ac:dyDescent="0.25">
      <c r="E72" s="13" t="s">
        <v>47</v>
      </c>
      <c r="F72" s="14">
        <v>1</v>
      </c>
    </row>
    <row r="73" spans="1:6" x14ac:dyDescent="0.25">
      <c r="E73" s="15" t="s">
        <v>202</v>
      </c>
      <c r="F73" s="14">
        <v>1</v>
      </c>
    </row>
    <row r="74" spans="1:6" x14ac:dyDescent="0.25">
      <c r="E74" s="13" t="s">
        <v>48</v>
      </c>
      <c r="F74" s="14">
        <v>1</v>
      </c>
    </row>
    <row r="75" spans="1:6" x14ac:dyDescent="0.25">
      <c r="E75" s="15" t="s">
        <v>206</v>
      </c>
      <c r="F75" s="14">
        <v>1</v>
      </c>
    </row>
    <row r="76" spans="1:6" x14ac:dyDescent="0.25">
      <c r="E76" s="13" t="s">
        <v>50</v>
      </c>
      <c r="F76" s="14">
        <v>1</v>
      </c>
    </row>
    <row r="77" spans="1:6" x14ac:dyDescent="0.25">
      <c r="E77" s="15" t="s">
        <v>205</v>
      </c>
      <c r="F77" s="14">
        <v>1</v>
      </c>
    </row>
    <row r="78" spans="1:6" x14ac:dyDescent="0.25">
      <c r="E78" s="13" t="s">
        <v>51</v>
      </c>
      <c r="F78" s="14">
        <v>1</v>
      </c>
    </row>
    <row r="79" spans="1:6" x14ac:dyDescent="0.25">
      <c r="E79" s="15" t="s">
        <v>202</v>
      </c>
      <c r="F79" s="14">
        <v>1</v>
      </c>
    </row>
    <row r="80" spans="1:6" x14ac:dyDescent="0.25">
      <c r="E80" s="13" t="s">
        <v>52</v>
      </c>
      <c r="F80" s="14">
        <v>1</v>
      </c>
    </row>
    <row r="81" spans="5:6" x14ac:dyDescent="0.25">
      <c r="E81" s="15" t="s">
        <v>201</v>
      </c>
      <c r="F81" s="14">
        <v>1</v>
      </c>
    </row>
    <row r="82" spans="5:6" x14ac:dyDescent="0.25">
      <c r="E82" s="13" t="s">
        <v>53</v>
      </c>
      <c r="F82" s="14">
        <v>1</v>
      </c>
    </row>
    <row r="83" spans="5:6" x14ac:dyDescent="0.25">
      <c r="E83" s="15" t="s">
        <v>201</v>
      </c>
      <c r="F83" s="14">
        <v>1</v>
      </c>
    </row>
    <row r="84" spans="5:6" x14ac:dyDescent="0.25">
      <c r="E84" s="13" t="s">
        <v>54</v>
      </c>
      <c r="F84" s="14">
        <v>1</v>
      </c>
    </row>
    <row r="85" spans="5:6" x14ac:dyDescent="0.25">
      <c r="E85" s="15" t="s">
        <v>202</v>
      </c>
      <c r="F85" s="14">
        <v>1</v>
      </c>
    </row>
    <row r="86" spans="5:6" x14ac:dyDescent="0.25">
      <c r="E86" s="13" t="s">
        <v>55</v>
      </c>
      <c r="F86" s="14">
        <v>1</v>
      </c>
    </row>
    <row r="87" spans="5:6" x14ac:dyDescent="0.25">
      <c r="E87" s="15" t="s">
        <v>204</v>
      </c>
      <c r="F87" s="14">
        <v>1</v>
      </c>
    </row>
    <row r="88" spans="5:6" x14ac:dyDescent="0.25">
      <c r="E88" s="13" t="s">
        <v>56</v>
      </c>
      <c r="F88" s="14">
        <v>1</v>
      </c>
    </row>
    <row r="89" spans="5:6" x14ac:dyDescent="0.25">
      <c r="E89" s="15" t="s">
        <v>201</v>
      </c>
      <c r="F89" s="14">
        <v>1</v>
      </c>
    </row>
    <row r="90" spans="5:6" x14ac:dyDescent="0.25">
      <c r="E90" s="13" t="s">
        <v>57</v>
      </c>
      <c r="F90" s="14">
        <v>1</v>
      </c>
    </row>
    <row r="91" spans="5:6" x14ac:dyDescent="0.25">
      <c r="E91" s="15" t="s">
        <v>203</v>
      </c>
      <c r="F91" s="14">
        <v>1</v>
      </c>
    </row>
    <row r="92" spans="5:6" x14ac:dyDescent="0.25">
      <c r="E92" s="13" t="s">
        <v>58</v>
      </c>
      <c r="F92" s="14">
        <v>1</v>
      </c>
    </row>
    <row r="93" spans="5:6" x14ac:dyDescent="0.25">
      <c r="E93" s="15" t="s">
        <v>202</v>
      </c>
      <c r="F93" s="14">
        <v>1</v>
      </c>
    </row>
    <row r="94" spans="5:6" x14ac:dyDescent="0.25">
      <c r="E94" s="13" t="s">
        <v>59</v>
      </c>
      <c r="F94" s="14">
        <v>1</v>
      </c>
    </row>
    <row r="95" spans="5:6" x14ac:dyDescent="0.25">
      <c r="E95" s="15" t="s">
        <v>201</v>
      </c>
      <c r="F95" s="14">
        <v>1</v>
      </c>
    </row>
    <row r="96" spans="5:6" x14ac:dyDescent="0.25">
      <c r="E96" s="13" t="s">
        <v>60</v>
      </c>
      <c r="F96" s="14">
        <v>1</v>
      </c>
    </row>
    <row r="97" spans="5:6" x14ac:dyDescent="0.25">
      <c r="E97" s="15" t="s">
        <v>201</v>
      </c>
      <c r="F97" s="14">
        <v>1</v>
      </c>
    </row>
    <row r="98" spans="5:6" x14ac:dyDescent="0.25">
      <c r="E98" s="13" t="s">
        <v>61</v>
      </c>
      <c r="F98" s="14">
        <v>1</v>
      </c>
    </row>
    <row r="99" spans="5:6" x14ac:dyDescent="0.25">
      <c r="E99" s="15" t="s">
        <v>204</v>
      </c>
      <c r="F99" s="14">
        <v>1</v>
      </c>
    </row>
    <row r="100" spans="5:6" x14ac:dyDescent="0.25">
      <c r="E100" s="13" t="s">
        <v>62</v>
      </c>
      <c r="F100" s="14">
        <v>1</v>
      </c>
    </row>
    <row r="101" spans="5:6" x14ac:dyDescent="0.25">
      <c r="E101" s="15" t="s">
        <v>201</v>
      </c>
      <c r="F101" s="14">
        <v>1</v>
      </c>
    </row>
    <row r="102" spans="5:6" x14ac:dyDescent="0.25">
      <c r="E102" s="13" t="s">
        <v>63</v>
      </c>
      <c r="F102" s="14">
        <v>1</v>
      </c>
    </row>
    <row r="103" spans="5:6" x14ac:dyDescent="0.25">
      <c r="E103" s="15" t="s">
        <v>205</v>
      </c>
      <c r="F103" s="14">
        <v>1</v>
      </c>
    </row>
    <row r="104" spans="5:6" x14ac:dyDescent="0.25">
      <c r="E104" s="13" t="s">
        <v>64</v>
      </c>
      <c r="F104" s="14">
        <v>1</v>
      </c>
    </row>
    <row r="105" spans="5:6" x14ac:dyDescent="0.25">
      <c r="E105" s="15" t="s">
        <v>201</v>
      </c>
      <c r="F105" s="14">
        <v>1</v>
      </c>
    </row>
    <row r="106" spans="5:6" x14ac:dyDescent="0.25">
      <c r="E106" s="13" t="s">
        <v>65</v>
      </c>
      <c r="F106" s="14">
        <v>1</v>
      </c>
    </row>
    <row r="107" spans="5:6" x14ac:dyDescent="0.25">
      <c r="E107" s="15" t="s">
        <v>205</v>
      </c>
      <c r="F107" s="14">
        <v>1</v>
      </c>
    </row>
    <row r="108" spans="5:6" x14ac:dyDescent="0.25">
      <c r="E108" s="13" t="s">
        <v>66</v>
      </c>
      <c r="F108" s="14">
        <v>1</v>
      </c>
    </row>
    <row r="109" spans="5:6" x14ac:dyDescent="0.25">
      <c r="E109" s="15" t="s">
        <v>206</v>
      </c>
      <c r="F109" s="14">
        <v>1</v>
      </c>
    </row>
    <row r="110" spans="5:6" x14ac:dyDescent="0.25">
      <c r="E110" s="13" t="s">
        <v>67</v>
      </c>
      <c r="F110" s="14">
        <v>1</v>
      </c>
    </row>
    <row r="111" spans="5:6" x14ac:dyDescent="0.25">
      <c r="E111" s="15" t="s">
        <v>204</v>
      </c>
      <c r="F111" s="14">
        <v>1</v>
      </c>
    </row>
    <row r="112" spans="5:6" x14ac:dyDescent="0.25">
      <c r="E112" s="13" t="s">
        <v>68</v>
      </c>
      <c r="F112" s="14">
        <v>1</v>
      </c>
    </row>
    <row r="113" spans="5:6" x14ac:dyDescent="0.25">
      <c r="E113" s="15" t="s">
        <v>207</v>
      </c>
      <c r="F113" s="14">
        <v>1</v>
      </c>
    </row>
    <row r="114" spans="5:6" x14ac:dyDescent="0.25">
      <c r="E114" s="13" t="s">
        <v>176</v>
      </c>
      <c r="F114" s="14">
        <v>30</v>
      </c>
    </row>
  </sheetData>
  <pageMargins left="0.7" right="0.7" top="0.75" bottom="0.75" header="0.3" footer="0.3"/>
  <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2F7F-4C3C-453B-AB76-2CFFE0A9948A}">
  <dimension ref="A1:H68"/>
  <sheetViews>
    <sheetView topLeftCell="A80" workbookViewId="0">
      <selection activeCell="C92" sqref="C92"/>
    </sheetView>
  </sheetViews>
  <sheetFormatPr defaultRowHeight="15" x14ac:dyDescent="0.25"/>
  <cols>
    <col min="1" max="1" width="13.140625" bestFit="1" customWidth="1"/>
    <col min="2" max="2" width="25.28515625" bestFit="1" customWidth="1"/>
    <col min="3" max="3" width="19.85546875" bestFit="1" customWidth="1"/>
    <col min="4" max="4" width="18" customWidth="1"/>
    <col min="5" max="5" width="13.140625" bestFit="1" customWidth="1"/>
    <col min="6" max="6" width="25.28515625" bestFit="1" customWidth="1"/>
    <col min="7" max="7" width="19.85546875" bestFit="1" customWidth="1"/>
    <col min="8" max="8" width="23" bestFit="1" customWidth="1"/>
  </cols>
  <sheetData>
    <row r="1" spans="1:8" x14ac:dyDescent="0.25">
      <c r="A1" s="3" t="s">
        <v>69</v>
      </c>
      <c r="B1" s="3" t="s">
        <v>70</v>
      </c>
      <c r="C1" s="3" t="s">
        <v>71</v>
      </c>
      <c r="D1" s="3" t="s">
        <v>72</v>
      </c>
      <c r="E1" s="3" t="s">
        <v>73</v>
      </c>
      <c r="F1" s="3" t="s">
        <v>74</v>
      </c>
      <c r="G1" s="3" t="s">
        <v>0</v>
      </c>
      <c r="H1" s="3" t="s">
        <v>75</v>
      </c>
    </row>
    <row r="2" spans="1:8" x14ac:dyDescent="0.25">
      <c r="A2" s="6" t="s">
        <v>76</v>
      </c>
      <c r="B2" s="6" t="s">
        <v>77</v>
      </c>
      <c r="C2" s="6" t="s">
        <v>78</v>
      </c>
      <c r="D2" s="6">
        <v>120</v>
      </c>
      <c r="E2" s="6">
        <v>80</v>
      </c>
      <c r="F2" s="6">
        <v>84</v>
      </c>
      <c r="G2" s="7">
        <v>45155</v>
      </c>
      <c r="H2" s="6">
        <v>124</v>
      </c>
    </row>
    <row r="3" spans="1:8" x14ac:dyDescent="0.25">
      <c r="A3" s="6" t="s">
        <v>79</v>
      </c>
      <c r="B3" s="6" t="s">
        <v>80</v>
      </c>
      <c r="C3" s="6" t="s">
        <v>81</v>
      </c>
      <c r="D3" s="6">
        <v>132</v>
      </c>
      <c r="E3" s="6">
        <v>54</v>
      </c>
      <c r="F3" s="6">
        <v>28</v>
      </c>
      <c r="G3" s="7">
        <v>45189</v>
      </c>
      <c r="H3" s="6">
        <v>106</v>
      </c>
    </row>
    <row r="4" spans="1:8" x14ac:dyDescent="0.25">
      <c r="A4" s="6" t="s">
        <v>82</v>
      </c>
      <c r="B4" s="6" t="s">
        <v>77</v>
      </c>
      <c r="C4" s="6" t="s">
        <v>78</v>
      </c>
      <c r="D4" s="6">
        <v>54</v>
      </c>
      <c r="E4" s="6">
        <v>79</v>
      </c>
      <c r="F4" s="6">
        <v>25</v>
      </c>
      <c r="G4" s="7">
        <v>44983</v>
      </c>
      <c r="H4" s="6">
        <v>0</v>
      </c>
    </row>
    <row r="5" spans="1:8" x14ac:dyDescent="0.25">
      <c r="A5" s="6" t="s">
        <v>83</v>
      </c>
      <c r="B5" s="6" t="s">
        <v>77</v>
      </c>
      <c r="C5" s="6" t="s">
        <v>84</v>
      </c>
      <c r="D5" s="6">
        <v>184</v>
      </c>
      <c r="E5" s="6">
        <v>75</v>
      </c>
      <c r="F5" s="6">
        <v>81</v>
      </c>
      <c r="G5" s="7">
        <v>45214</v>
      </c>
      <c r="H5" s="6">
        <v>190</v>
      </c>
    </row>
    <row r="6" spans="1:8" x14ac:dyDescent="0.25">
      <c r="A6" s="6" t="s">
        <v>85</v>
      </c>
      <c r="B6" s="6" t="s">
        <v>86</v>
      </c>
      <c r="C6" s="6" t="s">
        <v>78</v>
      </c>
      <c r="D6" s="6">
        <v>100</v>
      </c>
      <c r="E6" s="6">
        <v>44</v>
      </c>
      <c r="F6" s="6">
        <v>29</v>
      </c>
      <c r="G6" s="7">
        <v>45278</v>
      </c>
      <c r="H6" s="6">
        <v>85</v>
      </c>
    </row>
    <row r="7" spans="1:8" x14ac:dyDescent="0.25">
      <c r="A7" s="6" t="s">
        <v>87</v>
      </c>
      <c r="B7" s="6" t="s">
        <v>80</v>
      </c>
      <c r="C7" s="6" t="s">
        <v>81</v>
      </c>
      <c r="D7" s="6">
        <v>163</v>
      </c>
      <c r="E7" s="6">
        <v>67</v>
      </c>
      <c r="F7" s="6">
        <v>63</v>
      </c>
      <c r="G7" s="7">
        <v>45269</v>
      </c>
      <c r="H7" s="6">
        <v>159</v>
      </c>
    </row>
    <row r="8" spans="1:8" x14ac:dyDescent="0.25">
      <c r="A8" s="6" t="s">
        <v>88</v>
      </c>
      <c r="B8" s="6" t="s">
        <v>86</v>
      </c>
      <c r="C8" s="6" t="s">
        <v>78</v>
      </c>
      <c r="D8" s="6">
        <v>196</v>
      </c>
      <c r="E8" s="6">
        <v>64</v>
      </c>
      <c r="F8" s="6">
        <v>44</v>
      </c>
      <c r="G8" s="7">
        <v>45191</v>
      </c>
      <c r="H8" s="6">
        <v>176</v>
      </c>
    </row>
    <row r="9" spans="1:8" x14ac:dyDescent="0.25">
      <c r="A9" s="6" t="s">
        <v>89</v>
      </c>
      <c r="B9" s="6" t="s">
        <v>77</v>
      </c>
      <c r="C9" s="6" t="s">
        <v>81</v>
      </c>
      <c r="D9" s="6">
        <v>194</v>
      </c>
      <c r="E9" s="6">
        <v>46</v>
      </c>
      <c r="F9" s="6">
        <v>91</v>
      </c>
      <c r="G9" s="7">
        <v>45224</v>
      </c>
      <c r="H9" s="6">
        <v>239</v>
      </c>
    </row>
    <row r="10" spans="1:8" x14ac:dyDescent="0.25">
      <c r="A10" s="6" t="s">
        <v>90</v>
      </c>
      <c r="B10" s="6" t="s">
        <v>86</v>
      </c>
      <c r="C10" s="6" t="s">
        <v>78</v>
      </c>
      <c r="D10" s="6">
        <v>95</v>
      </c>
      <c r="E10" s="6">
        <v>15</v>
      </c>
      <c r="F10" s="6">
        <v>49</v>
      </c>
      <c r="G10" s="7">
        <v>45094</v>
      </c>
      <c r="H10" s="6">
        <v>129</v>
      </c>
    </row>
    <row r="11" spans="1:8" x14ac:dyDescent="0.25">
      <c r="A11" s="6" t="s">
        <v>91</v>
      </c>
      <c r="B11" s="6" t="s">
        <v>86</v>
      </c>
      <c r="C11" s="6" t="s">
        <v>81</v>
      </c>
      <c r="D11" s="6">
        <v>97</v>
      </c>
      <c r="E11" s="6">
        <v>33</v>
      </c>
      <c r="F11" s="6">
        <v>62</v>
      </c>
      <c r="G11" s="7">
        <v>44972</v>
      </c>
      <c r="H11" s="6">
        <v>126</v>
      </c>
    </row>
    <row r="12" spans="1:8" x14ac:dyDescent="0.25">
      <c r="A12" s="6" t="s">
        <v>92</v>
      </c>
      <c r="B12" s="6" t="s">
        <v>86</v>
      </c>
      <c r="C12" s="6" t="s">
        <v>81</v>
      </c>
      <c r="D12" s="6">
        <v>177</v>
      </c>
      <c r="E12" s="6">
        <v>63</v>
      </c>
      <c r="F12" s="6">
        <v>67</v>
      </c>
      <c r="G12" s="7">
        <v>44947</v>
      </c>
      <c r="H12" s="6">
        <v>181</v>
      </c>
    </row>
    <row r="13" spans="1:8" x14ac:dyDescent="0.25">
      <c r="A13" s="6" t="s">
        <v>93</v>
      </c>
      <c r="B13" s="6" t="s">
        <v>77</v>
      </c>
      <c r="C13" s="6" t="s">
        <v>81</v>
      </c>
      <c r="D13" s="6">
        <v>114</v>
      </c>
      <c r="E13" s="6">
        <v>72</v>
      </c>
      <c r="F13" s="6">
        <v>63</v>
      </c>
      <c r="G13" s="7">
        <v>44941</v>
      </c>
      <c r="H13" s="6">
        <v>105</v>
      </c>
    </row>
    <row r="14" spans="1:8" x14ac:dyDescent="0.25">
      <c r="A14" s="6" t="s">
        <v>94</v>
      </c>
      <c r="B14" s="6" t="s">
        <v>80</v>
      </c>
      <c r="C14" s="6" t="s">
        <v>81</v>
      </c>
      <c r="D14" s="6">
        <v>122</v>
      </c>
      <c r="E14" s="6">
        <v>55</v>
      </c>
      <c r="F14" s="6">
        <v>68</v>
      </c>
      <c r="G14" s="7">
        <v>45041</v>
      </c>
      <c r="H14" s="6">
        <v>135</v>
      </c>
    </row>
    <row r="15" spans="1:8" x14ac:dyDescent="0.25">
      <c r="A15" s="6" t="s">
        <v>95</v>
      </c>
      <c r="B15" s="6" t="s">
        <v>77</v>
      </c>
      <c r="C15" s="6" t="s">
        <v>81</v>
      </c>
      <c r="D15" s="6">
        <v>188</v>
      </c>
      <c r="E15" s="6">
        <v>32</v>
      </c>
      <c r="F15" s="6">
        <v>26</v>
      </c>
      <c r="G15" s="7">
        <v>45153</v>
      </c>
      <c r="H15" s="6">
        <v>182</v>
      </c>
    </row>
    <row r="16" spans="1:8" x14ac:dyDescent="0.25">
      <c r="A16" s="6" t="s">
        <v>96</v>
      </c>
      <c r="B16" s="6" t="s">
        <v>77</v>
      </c>
      <c r="C16" s="6" t="s">
        <v>78</v>
      </c>
      <c r="D16" s="6">
        <v>181</v>
      </c>
      <c r="E16" s="6">
        <v>66</v>
      </c>
      <c r="F16" s="6">
        <v>50</v>
      </c>
      <c r="G16" s="7">
        <v>45026</v>
      </c>
      <c r="H16" s="6">
        <v>165</v>
      </c>
    </row>
    <row r="17" spans="1:8" x14ac:dyDescent="0.25">
      <c r="A17" s="6" t="s">
        <v>97</v>
      </c>
      <c r="B17" s="6" t="s">
        <v>77</v>
      </c>
      <c r="C17" s="6" t="s">
        <v>84</v>
      </c>
      <c r="D17" s="6">
        <v>71</v>
      </c>
      <c r="E17" s="6">
        <v>36</v>
      </c>
      <c r="F17" s="6">
        <v>65</v>
      </c>
      <c r="G17" s="7">
        <v>45230</v>
      </c>
      <c r="H17" s="6">
        <v>100</v>
      </c>
    </row>
    <row r="18" spans="1:8" x14ac:dyDescent="0.25">
      <c r="A18" s="6" t="s">
        <v>98</v>
      </c>
      <c r="B18" s="6" t="s">
        <v>77</v>
      </c>
      <c r="C18" s="6" t="s">
        <v>84</v>
      </c>
      <c r="D18" s="6">
        <v>106</v>
      </c>
      <c r="E18" s="6">
        <v>10</v>
      </c>
      <c r="F18" s="6">
        <v>25</v>
      </c>
      <c r="G18" s="7">
        <v>44978</v>
      </c>
      <c r="H18" s="6">
        <v>121</v>
      </c>
    </row>
    <row r="19" spans="1:8" x14ac:dyDescent="0.25">
      <c r="A19" s="6" t="s">
        <v>99</v>
      </c>
      <c r="B19" s="6" t="s">
        <v>77</v>
      </c>
      <c r="C19" s="6" t="s">
        <v>78</v>
      </c>
      <c r="D19" s="6">
        <v>129</v>
      </c>
      <c r="E19" s="6">
        <v>22</v>
      </c>
      <c r="F19" s="6">
        <v>70</v>
      </c>
      <c r="G19" s="7">
        <v>45003</v>
      </c>
      <c r="H19" s="6">
        <v>177</v>
      </c>
    </row>
    <row r="20" spans="1:8" x14ac:dyDescent="0.25">
      <c r="A20" s="6" t="s">
        <v>100</v>
      </c>
      <c r="B20" s="6" t="s">
        <v>77</v>
      </c>
      <c r="C20" s="6" t="s">
        <v>78</v>
      </c>
      <c r="D20" s="6">
        <v>170</v>
      </c>
      <c r="E20" s="6">
        <v>56</v>
      </c>
      <c r="F20" s="6">
        <v>21</v>
      </c>
      <c r="G20" s="7">
        <v>45004</v>
      </c>
      <c r="H20" s="6">
        <v>135</v>
      </c>
    </row>
    <row r="21" spans="1:8" x14ac:dyDescent="0.25">
      <c r="A21" s="6" t="s">
        <v>101</v>
      </c>
      <c r="B21" s="6" t="s">
        <v>77</v>
      </c>
      <c r="C21" s="6" t="s">
        <v>78</v>
      </c>
      <c r="D21" s="6">
        <v>128</v>
      </c>
      <c r="E21" s="6">
        <v>40</v>
      </c>
      <c r="F21" s="6">
        <v>28</v>
      </c>
      <c r="G21" s="7">
        <v>45166</v>
      </c>
      <c r="H21" s="6">
        <v>116</v>
      </c>
    </row>
    <row r="22" spans="1:8" x14ac:dyDescent="0.25">
      <c r="A22" s="6" t="s">
        <v>102</v>
      </c>
      <c r="B22" s="6" t="s">
        <v>86</v>
      </c>
      <c r="C22" s="6" t="s">
        <v>78</v>
      </c>
      <c r="D22" s="6">
        <v>56</v>
      </c>
      <c r="E22" s="6">
        <v>46</v>
      </c>
      <c r="F22" s="6">
        <v>66</v>
      </c>
      <c r="G22" s="7">
        <v>45052</v>
      </c>
      <c r="H22" s="6">
        <v>76</v>
      </c>
    </row>
    <row r="23" spans="1:8" x14ac:dyDescent="0.25">
      <c r="A23" s="6" t="s">
        <v>103</v>
      </c>
      <c r="B23" s="6" t="s">
        <v>86</v>
      </c>
      <c r="C23" s="6" t="s">
        <v>78</v>
      </c>
      <c r="D23" s="6">
        <v>136</v>
      </c>
      <c r="E23" s="6">
        <v>20</v>
      </c>
      <c r="F23" s="6">
        <v>59</v>
      </c>
      <c r="G23" s="7">
        <v>45247</v>
      </c>
      <c r="H23" s="6">
        <v>175</v>
      </c>
    </row>
    <row r="24" spans="1:8" x14ac:dyDescent="0.25">
      <c r="A24" s="6" t="s">
        <v>104</v>
      </c>
      <c r="B24" s="6" t="s">
        <v>77</v>
      </c>
      <c r="C24" s="6" t="s">
        <v>81</v>
      </c>
      <c r="D24" s="6">
        <v>68</v>
      </c>
      <c r="E24" s="6">
        <v>56</v>
      </c>
      <c r="F24" s="6">
        <v>70</v>
      </c>
      <c r="G24" s="7">
        <v>45100</v>
      </c>
      <c r="H24" s="6">
        <v>82</v>
      </c>
    </row>
    <row r="25" spans="1:8" x14ac:dyDescent="0.25">
      <c r="A25" s="6" t="s">
        <v>105</v>
      </c>
      <c r="B25" s="6" t="s">
        <v>80</v>
      </c>
      <c r="C25" s="6" t="s">
        <v>84</v>
      </c>
      <c r="D25" s="6">
        <v>165</v>
      </c>
      <c r="E25" s="6">
        <v>68</v>
      </c>
      <c r="F25" s="6">
        <v>47</v>
      </c>
      <c r="G25" s="7">
        <v>45286</v>
      </c>
      <c r="H25" s="6">
        <v>144</v>
      </c>
    </row>
    <row r="26" spans="1:8" x14ac:dyDescent="0.25">
      <c r="A26" s="6" t="s">
        <v>106</v>
      </c>
      <c r="B26" s="6" t="s">
        <v>86</v>
      </c>
      <c r="C26" s="6" t="s">
        <v>81</v>
      </c>
      <c r="D26" s="6">
        <v>71</v>
      </c>
      <c r="E26" s="6">
        <v>68</v>
      </c>
      <c r="F26" s="6">
        <v>57</v>
      </c>
      <c r="G26" s="7">
        <v>44987</v>
      </c>
      <c r="H26" s="6">
        <v>60</v>
      </c>
    </row>
    <row r="27" spans="1:8" x14ac:dyDescent="0.25">
      <c r="A27" s="6" t="s">
        <v>107</v>
      </c>
      <c r="B27" s="6" t="s">
        <v>86</v>
      </c>
      <c r="C27" s="6" t="s">
        <v>84</v>
      </c>
      <c r="D27" s="6">
        <v>56</v>
      </c>
      <c r="E27" s="6">
        <v>70</v>
      </c>
      <c r="F27" s="6">
        <v>75</v>
      </c>
      <c r="G27" s="7">
        <v>45123</v>
      </c>
      <c r="H27" s="6">
        <v>61</v>
      </c>
    </row>
    <row r="28" spans="1:8" x14ac:dyDescent="0.25">
      <c r="A28" s="6" t="s">
        <v>108</v>
      </c>
      <c r="B28" s="6" t="s">
        <v>86</v>
      </c>
      <c r="C28" s="6" t="s">
        <v>84</v>
      </c>
      <c r="D28" s="6">
        <v>80</v>
      </c>
      <c r="E28" s="6">
        <v>61</v>
      </c>
      <c r="F28" s="6">
        <v>39</v>
      </c>
      <c r="G28" s="7">
        <v>44937</v>
      </c>
      <c r="H28" s="6">
        <v>58</v>
      </c>
    </row>
    <row r="29" spans="1:8" x14ac:dyDescent="0.25">
      <c r="A29" s="6" t="s">
        <v>109</v>
      </c>
      <c r="B29" s="6" t="s">
        <v>80</v>
      </c>
      <c r="C29" s="6" t="s">
        <v>81</v>
      </c>
      <c r="D29" s="6">
        <v>70</v>
      </c>
      <c r="E29" s="6">
        <v>68</v>
      </c>
      <c r="F29" s="6">
        <v>46</v>
      </c>
      <c r="G29" s="7">
        <v>45261</v>
      </c>
      <c r="H29" s="6">
        <v>48</v>
      </c>
    </row>
    <row r="30" spans="1:8" x14ac:dyDescent="0.25">
      <c r="A30" s="6" t="s">
        <v>110</v>
      </c>
      <c r="B30" s="6" t="s">
        <v>77</v>
      </c>
      <c r="C30" s="6" t="s">
        <v>78</v>
      </c>
      <c r="D30" s="6">
        <v>143</v>
      </c>
      <c r="E30" s="6">
        <v>49</v>
      </c>
      <c r="F30" s="6">
        <v>44</v>
      </c>
      <c r="G30" s="7">
        <v>45147</v>
      </c>
      <c r="H30" s="6">
        <v>138</v>
      </c>
    </row>
    <row r="31" spans="1:8" x14ac:dyDescent="0.25">
      <c r="A31" s="6" t="s">
        <v>111</v>
      </c>
      <c r="B31" s="6" t="s">
        <v>86</v>
      </c>
      <c r="C31" s="6" t="s">
        <v>84</v>
      </c>
      <c r="D31" s="6">
        <v>168</v>
      </c>
      <c r="E31" s="6">
        <v>29</v>
      </c>
      <c r="F31" s="6">
        <v>77</v>
      </c>
      <c r="G31" s="7">
        <v>44944</v>
      </c>
      <c r="H31" s="6">
        <v>216</v>
      </c>
    </row>
    <row r="35" spans="1:6" x14ac:dyDescent="0.25">
      <c r="A35" s="12" t="s">
        <v>175</v>
      </c>
      <c r="B35" s="10" t="s">
        <v>210</v>
      </c>
      <c r="C35" s="10" t="s">
        <v>209</v>
      </c>
      <c r="E35" s="12" t="s">
        <v>175</v>
      </c>
      <c r="F35" t="s">
        <v>211</v>
      </c>
    </row>
    <row r="36" spans="1:6" x14ac:dyDescent="0.25">
      <c r="A36" s="13" t="s">
        <v>77</v>
      </c>
      <c r="B36" s="14">
        <v>743</v>
      </c>
      <c r="C36" s="14">
        <v>719</v>
      </c>
      <c r="E36" s="13" t="s">
        <v>77</v>
      </c>
      <c r="F36" s="14">
        <v>1874</v>
      </c>
    </row>
    <row r="37" spans="1:6" x14ac:dyDescent="0.25">
      <c r="A37" s="13" t="s">
        <v>80</v>
      </c>
      <c r="B37" s="14">
        <v>252</v>
      </c>
      <c r="C37" s="14">
        <v>312</v>
      </c>
      <c r="E37" s="13" t="s">
        <v>80</v>
      </c>
      <c r="F37" s="14">
        <v>592</v>
      </c>
    </row>
    <row r="38" spans="1:6" x14ac:dyDescent="0.25">
      <c r="A38" s="13" t="s">
        <v>86</v>
      </c>
      <c r="B38" s="14">
        <v>624</v>
      </c>
      <c r="C38" s="14">
        <v>513</v>
      </c>
      <c r="E38" s="13" t="s">
        <v>86</v>
      </c>
      <c r="F38" s="14">
        <v>1343</v>
      </c>
    </row>
    <row r="39" spans="1:6" x14ac:dyDescent="0.25">
      <c r="A39" s="13" t="s">
        <v>176</v>
      </c>
      <c r="B39" s="14">
        <v>1619</v>
      </c>
      <c r="C39" s="14">
        <v>1544</v>
      </c>
      <c r="E39" s="13" t="s">
        <v>176</v>
      </c>
      <c r="F39" s="14">
        <v>3809</v>
      </c>
    </row>
    <row r="44" spans="1:6" x14ac:dyDescent="0.25">
      <c r="A44" s="12" t="s">
        <v>175</v>
      </c>
      <c r="B44" s="10" t="s">
        <v>210</v>
      </c>
      <c r="C44" s="10" t="s">
        <v>209</v>
      </c>
      <c r="E44" s="12" t="s">
        <v>175</v>
      </c>
      <c r="F44" t="s">
        <v>211</v>
      </c>
    </row>
    <row r="45" spans="1:6" x14ac:dyDescent="0.25">
      <c r="A45" s="16" t="s">
        <v>212</v>
      </c>
      <c r="B45" s="14">
        <v>102</v>
      </c>
      <c r="C45" s="14">
        <v>133</v>
      </c>
      <c r="E45" s="13" t="s">
        <v>77</v>
      </c>
      <c r="F45" s="14">
        <v>1874</v>
      </c>
    </row>
    <row r="46" spans="1:6" x14ac:dyDescent="0.25">
      <c r="A46" s="16" t="s">
        <v>213</v>
      </c>
      <c r="B46" s="14">
        <v>144</v>
      </c>
      <c r="C46" s="14">
        <v>92</v>
      </c>
      <c r="E46" s="13" t="s">
        <v>80</v>
      </c>
      <c r="F46" s="14">
        <v>592</v>
      </c>
    </row>
    <row r="47" spans="1:6" x14ac:dyDescent="0.25">
      <c r="A47" s="16" t="s">
        <v>214</v>
      </c>
      <c r="B47" s="14">
        <v>87</v>
      </c>
      <c r="C47" s="14">
        <v>43</v>
      </c>
      <c r="E47" s="13" t="s">
        <v>86</v>
      </c>
      <c r="F47" s="14">
        <v>1343</v>
      </c>
    </row>
    <row r="48" spans="1:6" x14ac:dyDescent="0.25">
      <c r="A48" s="16" t="s">
        <v>215</v>
      </c>
      <c r="B48" s="14">
        <v>25</v>
      </c>
      <c r="C48" s="14">
        <v>79</v>
      </c>
      <c r="E48" s="13" t="s">
        <v>176</v>
      </c>
      <c r="F48" s="14">
        <v>3809</v>
      </c>
    </row>
    <row r="49" spans="1:8" x14ac:dyDescent="0.25">
      <c r="A49" s="16" t="s">
        <v>216</v>
      </c>
      <c r="B49" s="14">
        <v>57</v>
      </c>
      <c r="C49" s="14">
        <v>68</v>
      </c>
    </row>
    <row r="50" spans="1:8" x14ac:dyDescent="0.25">
      <c r="A50" s="16" t="s">
        <v>217</v>
      </c>
      <c r="B50" s="14">
        <v>91</v>
      </c>
      <c r="C50" s="14">
        <v>78</v>
      </c>
    </row>
    <row r="51" spans="1:8" x14ac:dyDescent="0.25">
      <c r="A51" s="16" t="s">
        <v>218</v>
      </c>
      <c r="B51" s="14">
        <v>50</v>
      </c>
      <c r="C51" s="14">
        <v>66</v>
      </c>
    </row>
    <row r="52" spans="1:8" x14ac:dyDescent="0.25">
      <c r="A52" s="16" t="s">
        <v>219</v>
      </c>
      <c r="B52" s="14">
        <v>68</v>
      </c>
      <c r="C52" s="14">
        <v>55</v>
      </c>
    </row>
    <row r="53" spans="1:8" x14ac:dyDescent="0.25">
      <c r="A53" s="16" t="s">
        <v>220</v>
      </c>
      <c r="B53" s="14">
        <v>66</v>
      </c>
      <c r="C53" s="14">
        <v>46</v>
      </c>
    </row>
    <row r="54" spans="1:8" x14ac:dyDescent="0.25">
      <c r="A54" s="16" t="s">
        <v>221</v>
      </c>
      <c r="B54" s="14">
        <v>49</v>
      </c>
      <c r="C54" s="14">
        <v>15</v>
      </c>
      <c r="E54" s="12" t="s">
        <v>175</v>
      </c>
      <c r="F54" s="10" t="s">
        <v>210</v>
      </c>
      <c r="G54" s="10" t="s">
        <v>209</v>
      </c>
      <c r="H54" s="10" t="s">
        <v>235</v>
      </c>
    </row>
    <row r="55" spans="1:8" x14ac:dyDescent="0.25">
      <c r="A55" s="16" t="s">
        <v>222</v>
      </c>
      <c r="B55" s="14">
        <v>70</v>
      </c>
      <c r="C55" s="14">
        <v>56</v>
      </c>
      <c r="E55" s="13" t="s">
        <v>77</v>
      </c>
      <c r="F55" s="14">
        <v>743</v>
      </c>
      <c r="G55" s="14">
        <v>719</v>
      </c>
      <c r="H55" s="14">
        <v>24</v>
      </c>
    </row>
    <row r="56" spans="1:8" x14ac:dyDescent="0.25">
      <c r="A56" s="16" t="s">
        <v>223</v>
      </c>
      <c r="B56" s="14">
        <v>75</v>
      </c>
      <c r="C56" s="14">
        <v>70</v>
      </c>
      <c r="E56" s="13" t="s">
        <v>80</v>
      </c>
      <c r="F56" s="14">
        <v>252</v>
      </c>
      <c r="G56" s="14">
        <v>312</v>
      </c>
      <c r="H56" s="14">
        <v>-60</v>
      </c>
    </row>
    <row r="57" spans="1:8" x14ac:dyDescent="0.25">
      <c r="A57" s="16" t="s">
        <v>224</v>
      </c>
      <c r="B57" s="14">
        <v>70</v>
      </c>
      <c r="C57" s="14">
        <v>81</v>
      </c>
      <c r="E57" s="13" t="s">
        <v>86</v>
      </c>
      <c r="F57" s="14">
        <v>624</v>
      </c>
      <c r="G57" s="14">
        <v>513</v>
      </c>
      <c r="H57" s="14">
        <v>111</v>
      </c>
    </row>
    <row r="58" spans="1:8" x14ac:dyDescent="0.25">
      <c r="A58" s="16" t="s">
        <v>225</v>
      </c>
      <c r="B58" s="14">
        <v>84</v>
      </c>
      <c r="C58" s="14">
        <v>80</v>
      </c>
      <c r="E58" s="13" t="s">
        <v>176</v>
      </c>
      <c r="F58" s="14">
        <v>1619</v>
      </c>
      <c r="G58" s="14">
        <v>1544</v>
      </c>
      <c r="H58" s="14">
        <v>75</v>
      </c>
    </row>
    <row r="59" spans="1:8" x14ac:dyDescent="0.25">
      <c r="A59" s="16" t="s">
        <v>226</v>
      </c>
      <c r="B59" s="14">
        <v>28</v>
      </c>
      <c r="C59" s="14">
        <v>40</v>
      </c>
    </row>
    <row r="60" spans="1:8" x14ac:dyDescent="0.25">
      <c r="A60" s="16" t="s">
        <v>227</v>
      </c>
      <c r="B60" s="14">
        <v>72</v>
      </c>
      <c r="C60" s="14">
        <v>118</v>
      </c>
    </row>
    <row r="61" spans="1:8" x14ac:dyDescent="0.25">
      <c r="A61" s="16" t="s">
        <v>228</v>
      </c>
      <c r="B61" s="14">
        <v>81</v>
      </c>
      <c r="C61" s="14">
        <v>75</v>
      </c>
      <c r="E61" s="13" t="s">
        <v>236</v>
      </c>
    </row>
    <row r="62" spans="1:8" x14ac:dyDescent="0.25">
      <c r="A62" s="16" t="s">
        <v>229</v>
      </c>
      <c r="B62" s="14">
        <v>156</v>
      </c>
      <c r="C62" s="14">
        <v>82</v>
      </c>
      <c r="E62" s="13" t="s">
        <v>237</v>
      </c>
    </row>
    <row r="63" spans="1:8" x14ac:dyDescent="0.25">
      <c r="A63" s="16" t="s">
        <v>230</v>
      </c>
      <c r="B63" s="14">
        <v>59</v>
      </c>
      <c r="C63" s="14">
        <v>20</v>
      </c>
      <c r="E63" s="13" t="s">
        <v>238</v>
      </c>
    </row>
    <row r="64" spans="1:8" x14ac:dyDescent="0.25">
      <c r="A64" s="16" t="s">
        <v>231</v>
      </c>
      <c r="B64" s="14">
        <v>46</v>
      </c>
      <c r="C64" s="14">
        <v>68</v>
      </c>
    </row>
    <row r="65" spans="1:6" x14ac:dyDescent="0.25">
      <c r="A65" s="16" t="s">
        <v>232</v>
      </c>
      <c r="B65" s="14">
        <v>63</v>
      </c>
      <c r="C65" s="14">
        <v>67</v>
      </c>
    </row>
    <row r="66" spans="1:6" x14ac:dyDescent="0.25">
      <c r="A66" s="16" t="s">
        <v>233</v>
      </c>
      <c r="B66" s="14">
        <v>29</v>
      </c>
      <c r="C66" s="14">
        <v>44</v>
      </c>
    </row>
    <row r="67" spans="1:6" x14ac:dyDescent="0.25">
      <c r="A67" s="16" t="s">
        <v>234</v>
      </c>
      <c r="B67" s="14">
        <v>47</v>
      </c>
      <c r="C67" s="14">
        <v>68</v>
      </c>
      <c r="E67" s="10" t="s">
        <v>239</v>
      </c>
      <c r="F67" s="10" t="s">
        <v>211</v>
      </c>
    </row>
    <row r="68" spans="1:6" x14ac:dyDescent="0.25">
      <c r="A68" s="16" t="s">
        <v>176</v>
      </c>
      <c r="B68" s="14">
        <v>1619</v>
      </c>
      <c r="C68" s="14">
        <v>1544</v>
      </c>
      <c r="E68" s="14">
        <v>3734</v>
      </c>
      <c r="F68" s="14">
        <v>3809</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D33E-FF45-46F1-B0D2-B32E2DA3EE4F}">
  <dimension ref="A1:G60"/>
  <sheetViews>
    <sheetView topLeftCell="A48" workbookViewId="0">
      <selection activeCell="F62" sqref="F62"/>
    </sheetView>
  </sheetViews>
  <sheetFormatPr defaultRowHeight="15" x14ac:dyDescent="0.25"/>
  <cols>
    <col min="1" max="1" width="13.140625" bestFit="1" customWidth="1"/>
    <col min="2" max="2" width="21.85546875" customWidth="1"/>
    <col min="3" max="3" width="23" bestFit="1" customWidth="1"/>
    <col min="4" max="4" width="13.5703125" customWidth="1"/>
    <col min="5" max="5" width="14" bestFit="1" customWidth="1"/>
    <col min="6" max="7" width="23" bestFit="1" customWidth="1"/>
  </cols>
  <sheetData>
    <row r="1" spans="1:6" x14ac:dyDescent="0.25">
      <c r="A1" s="3" t="s">
        <v>23</v>
      </c>
      <c r="B1" s="3" t="s">
        <v>112</v>
      </c>
      <c r="C1" s="3" t="s">
        <v>113</v>
      </c>
      <c r="D1" s="3" t="s">
        <v>114</v>
      </c>
      <c r="E1" s="3" t="s">
        <v>0</v>
      </c>
      <c r="F1" s="3" t="s">
        <v>115</v>
      </c>
    </row>
    <row r="2" spans="1:6" x14ac:dyDescent="0.25">
      <c r="A2" s="8" t="s">
        <v>35</v>
      </c>
      <c r="B2" s="8" t="s">
        <v>116</v>
      </c>
      <c r="C2" s="8">
        <v>3707</v>
      </c>
      <c r="D2" s="8">
        <v>5413</v>
      </c>
      <c r="E2" s="9">
        <v>45091</v>
      </c>
      <c r="F2" s="8" t="s">
        <v>117</v>
      </c>
    </row>
    <row r="3" spans="1:6" x14ac:dyDescent="0.25">
      <c r="A3" s="8" t="s">
        <v>118</v>
      </c>
      <c r="B3" s="8" t="s">
        <v>119</v>
      </c>
      <c r="C3" s="8">
        <v>8341</v>
      </c>
      <c r="D3" s="8">
        <v>10963</v>
      </c>
      <c r="E3" s="9">
        <v>45111</v>
      </c>
      <c r="F3" s="8" t="s">
        <v>120</v>
      </c>
    </row>
    <row r="4" spans="1:6" x14ac:dyDescent="0.25">
      <c r="A4" s="8" t="s">
        <v>121</v>
      </c>
      <c r="B4" s="8" t="s">
        <v>122</v>
      </c>
      <c r="C4" s="8">
        <v>8733</v>
      </c>
      <c r="D4" s="8">
        <v>8992</v>
      </c>
      <c r="E4" s="9">
        <v>45125</v>
      </c>
      <c r="F4" s="8" t="s">
        <v>123</v>
      </c>
    </row>
    <row r="5" spans="1:6" x14ac:dyDescent="0.25">
      <c r="A5" s="8" t="s">
        <v>121</v>
      </c>
      <c r="B5" s="8" t="s">
        <v>124</v>
      </c>
      <c r="C5" s="8">
        <v>1403</v>
      </c>
      <c r="D5" s="8">
        <v>7501</v>
      </c>
      <c r="E5" s="9">
        <v>45280</v>
      </c>
      <c r="F5" s="8" t="s">
        <v>117</v>
      </c>
    </row>
    <row r="6" spans="1:6" x14ac:dyDescent="0.25">
      <c r="A6" s="8" t="s">
        <v>118</v>
      </c>
      <c r="B6" s="8" t="s">
        <v>124</v>
      </c>
      <c r="C6" s="8">
        <v>5713</v>
      </c>
      <c r="D6" s="8">
        <v>11398</v>
      </c>
      <c r="E6" s="9">
        <v>45022</v>
      </c>
      <c r="F6" s="8" t="s">
        <v>117</v>
      </c>
    </row>
    <row r="7" spans="1:6" x14ac:dyDescent="0.25">
      <c r="A7" s="8" t="s">
        <v>121</v>
      </c>
      <c r="B7" s="8" t="s">
        <v>116</v>
      </c>
      <c r="C7" s="8">
        <v>9223</v>
      </c>
      <c r="D7" s="8">
        <v>13529</v>
      </c>
      <c r="E7" s="9">
        <v>45034</v>
      </c>
      <c r="F7" s="8" t="s">
        <v>125</v>
      </c>
    </row>
    <row r="8" spans="1:6" x14ac:dyDescent="0.25">
      <c r="A8" s="8" t="s">
        <v>118</v>
      </c>
      <c r="B8" s="8" t="s">
        <v>119</v>
      </c>
      <c r="C8" s="8">
        <v>2901</v>
      </c>
      <c r="D8" s="8">
        <v>12206</v>
      </c>
      <c r="E8" s="9">
        <v>45105</v>
      </c>
      <c r="F8" s="8" t="s">
        <v>120</v>
      </c>
    </row>
    <row r="9" spans="1:6" x14ac:dyDescent="0.25">
      <c r="A9" s="8" t="s">
        <v>118</v>
      </c>
      <c r="B9" s="8" t="s">
        <v>122</v>
      </c>
      <c r="C9" s="8">
        <v>2121</v>
      </c>
      <c r="D9" s="8">
        <v>11558</v>
      </c>
      <c r="E9" s="9">
        <v>45260</v>
      </c>
      <c r="F9" s="8" t="s">
        <v>120</v>
      </c>
    </row>
    <row r="10" spans="1:6" x14ac:dyDescent="0.25">
      <c r="A10" s="8" t="s">
        <v>35</v>
      </c>
      <c r="B10" s="8" t="s">
        <v>122</v>
      </c>
      <c r="C10" s="8">
        <v>4478</v>
      </c>
      <c r="D10" s="8">
        <v>12258</v>
      </c>
      <c r="E10" s="9">
        <v>45176</v>
      </c>
      <c r="F10" s="8" t="s">
        <v>125</v>
      </c>
    </row>
    <row r="11" spans="1:6" x14ac:dyDescent="0.25">
      <c r="A11" s="8" t="s">
        <v>35</v>
      </c>
      <c r="B11" s="8" t="s">
        <v>119</v>
      </c>
      <c r="C11" s="8">
        <v>3137</v>
      </c>
      <c r="D11" s="8">
        <v>10509</v>
      </c>
      <c r="E11" s="9">
        <v>44941</v>
      </c>
      <c r="F11" s="8" t="s">
        <v>125</v>
      </c>
    </row>
    <row r="12" spans="1:6" x14ac:dyDescent="0.25">
      <c r="A12" s="8" t="s">
        <v>121</v>
      </c>
      <c r="B12" s="8" t="s">
        <v>124</v>
      </c>
      <c r="C12" s="8">
        <v>3272</v>
      </c>
      <c r="D12" s="8">
        <v>11154</v>
      </c>
      <c r="E12" s="9">
        <v>45191</v>
      </c>
      <c r="F12" s="8" t="s">
        <v>120</v>
      </c>
    </row>
    <row r="13" spans="1:6" x14ac:dyDescent="0.25">
      <c r="A13" s="8" t="s">
        <v>35</v>
      </c>
      <c r="B13" s="8" t="s">
        <v>124</v>
      </c>
      <c r="C13" s="8">
        <v>7552</v>
      </c>
      <c r="D13" s="8">
        <v>5819</v>
      </c>
      <c r="E13" s="9">
        <v>45140</v>
      </c>
      <c r="F13" s="8" t="s">
        <v>123</v>
      </c>
    </row>
    <row r="14" spans="1:6" x14ac:dyDescent="0.25">
      <c r="A14" s="8" t="s">
        <v>118</v>
      </c>
      <c r="B14" s="8" t="s">
        <v>119</v>
      </c>
      <c r="C14" s="8">
        <v>1399</v>
      </c>
      <c r="D14" s="8">
        <v>5098</v>
      </c>
      <c r="E14" s="9">
        <v>44980</v>
      </c>
      <c r="F14" s="8" t="s">
        <v>125</v>
      </c>
    </row>
    <row r="15" spans="1:6" x14ac:dyDescent="0.25">
      <c r="A15" s="8" t="s">
        <v>35</v>
      </c>
      <c r="B15" s="8" t="s">
        <v>122</v>
      </c>
      <c r="C15" s="8">
        <v>9009</v>
      </c>
      <c r="D15" s="8">
        <v>8963</v>
      </c>
      <c r="E15" s="9">
        <v>45152</v>
      </c>
      <c r="F15" s="8" t="s">
        <v>120</v>
      </c>
    </row>
    <row r="16" spans="1:6" x14ac:dyDescent="0.25">
      <c r="A16" s="8" t="s">
        <v>35</v>
      </c>
      <c r="B16" s="8" t="s">
        <v>116</v>
      </c>
      <c r="C16" s="8">
        <v>8645</v>
      </c>
      <c r="D16" s="8">
        <v>8210</v>
      </c>
      <c r="E16" s="9">
        <v>45183</v>
      </c>
      <c r="F16" s="8" t="s">
        <v>117</v>
      </c>
    </row>
    <row r="17" spans="1:6" x14ac:dyDescent="0.25">
      <c r="A17" s="8" t="s">
        <v>126</v>
      </c>
      <c r="B17" s="8" t="s">
        <v>124</v>
      </c>
      <c r="C17" s="8">
        <v>2694</v>
      </c>
      <c r="D17" s="8">
        <v>7831</v>
      </c>
      <c r="E17" s="9">
        <v>45233</v>
      </c>
      <c r="F17" s="8" t="s">
        <v>123</v>
      </c>
    </row>
    <row r="18" spans="1:6" x14ac:dyDescent="0.25">
      <c r="A18" s="8" t="s">
        <v>118</v>
      </c>
      <c r="B18" s="8" t="s">
        <v>124</v>
      </c>
      <c r="C18" s="8">
        <v>3568</v>
      </c>
      <c r="D18" s="8">
        <v>6065</v>
      </c>
      <c r="E18" s="9">
        <v>45128</v>
      </c>
      <c r="F18" s="8" t="s">
        <v>117</v>
      </c>
    </row>
    <row r="19" spans="1:6" x14ac:dyDescent="0.25">
      <c r="A19" s="8" t="s">
        <v>121</v>
      </c>
      <c r="B19" s="8" t="s">
        <v>119</v>
      </c>
      <c r="C19" s="8">
        <v>7045</v>
      </c>
      <c r="D19" s="8">
        <v>14543</v>
      </c>
      <c r="E19" s="9">
        <v>45210</v>
      </c>
      <c r="F19" s="8" t="s">
        <v>123</v>
      </c>
    </row>
    <row r="20" spans="1:6" x14ac:dyDescent="0.25">
      <c r="A20" s="8" t="s">
        <v>35</v>
      </c>
      <c r="B20" s="8" t="s">
        <v>116</v>
      </c>
      <c r="C20" s="8">
        <v>3754</v>
      </c>
      <c r="D20" s="8">
        <v>13533</v>
      </c>
      <c r="E20" s="9">
        <v>45041</v>
      </c>
      <c r="F20" s="8" t="s">
        <v>125</v>
      </c>
    </row>
    <row r="21" spans="1:6" x14ac:dyDescent="0.25">
      <c r="A21" s="8" t="s">
        <v>118</v>
      </c>
      <c r="B21" s="8" t="s">
        <v>119</v>
      </c>
      <c r="C21" s="8">
        <v>6762</v>
      </c>
      <c r="D21" s="8">
        <v>5074</v>
      </c>
      <c r="E21" s="9">
        <v>45130</v>
      </c>
      <c r="F21" s="8" t="s">
        <v>125</v>
      </c>
    </row>
    <row r="22" spans="1:6" x14ac:dyDescent="0.25">
      <c r="A22" s="8" t="s">
        <v>118</v>
      </c>
      <c r="B22" s="8" t="s">
        <v>119</v>
      </c>
      <c r="C22" s="8">
        <v>5297</v>
      </c>
      <c r="D22" s="8">
        <v>10525</v>
      </c>
      <c r="E22" s="9">
        <v>45158</v>
      </c>
      <c r="F22" s="8" t="s">
        <v>117</v>
      </c>
    </row>
    <row r="23" spans="1:6" x14ac:dyDescent="0.25">
      <c r="A23" s="8" t="s">
        <v>126</v>
      </c>
      <c r="B23" s="8" t="s">
        <v>124</v>
      </c>
      <c r="C23" s="8">
        <v>3504</v>
      </c>
      <c r="D23" s="8">
        <v>5695</v>
      </c>
      <c r="E23" s="9">
        <v>45066</v>
      </c>
      <c r="F23" s="8" t="s">
        <v>125</v>
      </c>
    </row>
    <row r="24" spans="1:6" x14ac:dyDescent="0.25">
      <c r="A24" s="8" t="s">
        <v>118</v>
      </c>
      <c r="B24" s="8" t="s">
        <v>122</v>
      </c>
      <c r="C24" s="8">
        <v>6705</v>
      </c>
      <c r="D24" s="8">
        <v>8911</v>
      </c>
      <c r="E24" s="9">
        <v>45177</v>
      </c>
      <c r="F24" s="8" t="s">
        <v>117</v>
      </c>
    </row>
    <row r="25" spans="1:6" x14ac:dyDescent="0.25">
      <c r="A25" s="8" t="s">
        <v>126</v>
      </c>
      <c r="B25" s="8" t="s">
        <v>122</v>
      </c>
      <c r="C25" s="8">
        <v>5364</v>
      </c>
      <c r="D25" s="8">
        <v>8292</v>
      </c>
      <c r="E25" s="9">
        <v>45280</v>
      </c>
      <c r="F25" s="8" t="s">
        <v>125</v>
      </c>
    </row>
    <row r="26" spans="1:6" x14ac:dyDescent="0.25">
      <c r="A26" s="8" t="s">
        <v>121</v>
      </c>
      <c r="B26" s="8" t="s">
        <v>119</v>
      </c>
      <c r="C26" s="8">
        <v>2771</v>
      </c>
      <c r="D26" s="8">
        <v>14172</v>
      </c>
      <c r="E26" s="9">
        <v>45003</v>
      </c>
      <c r="F26" s="8" t="s">
        <v>120</v>
      </c>
    </row>
    <row r="27" spans="1:6" x14ac:dyDescent="0.25">
      <c r="A27" s="8" t="s">
        <v>118</v>
      </c>
      <c r="B27" s="8" t="s">
        <v>122</v>
      </c>
      <c r="C27" s="8">
        <v>3886</v>
      </c>
      <c r="D27" s="8">
        <v>5220</v>
      </c>
      <c r="E27" s="9">
        <v>45063</v>
      </c>
      <c r="F27" s="8" t="s">
        <v>120</v>
      </c>
    </row>
    <row r="28" spans="1:6" x14ac:dyDescent="0.25">
      <c r="A28" s="8" t="s">
        <v>118</v>
      </c>
      <c r="B28" s="8" t="s">
        <v>119</v>
      </c>
      <c r="C28" s="8">
        <v>7567</v>
      </c>
      <c r="D28" s="8">
        <v>13183</v>
      </c>
      <c r="E28" s="9">
        <v>45259</v>
      </c>
      <c r="F28" s="8" t="s">
        <v>117</v>
      </c>
    </row>
    <row r="29" spans="1:6" x14ac:dyDescent="0.25">
      <c r="A29" s="8" t="s">
        <v>35</v>
      </c>
      <c r="B29" s="8" t="s">
        <v>119</v>
      </c>
      <c r="C29" s="8">
        <v>4229</v>
      </c>
      <c r="D29" s="8">
        <v>7593</v>
      </c>
      <c r="E29" s="9">
        <v>45118</v>
      </c>
      <c r="F29" s="8" t="s">
        <v>125</v>
      </c>
    </row>
    <row r="30" spans="1:6" x14ac:dyDescent="0.25">
      <c r="A30" s="8" t="s">
        <v>35</v>
      </c>
      <c r="B30" s="8" t="s">
        <v>122</v>
      </c>
      <c r="C30" s="8">
        <v>3656</v>
      </c>
      <c r="D30" s="8">
        <v>14541</v>
      </c>
      <c r="E30" s="9">
        <v>45277</v>
      </c>
      <c r="F30" s="8" t="s">
        <v>120</v>
      </c>
    </row>
    <row r="31" spans="1:6" x14ac:dyDescent="0.25">
      <c r="A31" s="8" t="s">
        <v>121</v>
      </c>
      <c r="B31" s="8" t="s">
        <v>119</v>
      </c>
      <c r="C31" s="8">
        <v>8425</v>
      </c>
      <c r="D31" s="8">
        <v>12388</v>
      </c>
      <c r="E31" s="9">
        <v>45120</v>
      </c>
      <c r="F31" s="8" t="s">
        <v>120</v>
      </c>
    </row>
    <row r="36" spans="1:7" x14ac:dyDescent="0.25">
      <c r="A36" s="12" t="s">
        <v>175</v>
      </c>
      <c r="B36" s="10" t="s">
        <v>240</v>
      </c>
      <c r="C36" s="10" t="s">
        <v>241</v>
      </c>
      <c r="E36" s="12" t="s">
        <v>175</v>
      </c>
      <c r="F36" s="10" t="s">
        <v>240</v>
      </c>
      <c r="G36" s="10" t="s">
        <v>241</v>
      </c>
    </row>
    <row r="37" spans="1:7" x14ac:dyDescent="0.25">
      <c r="A37" s="13" t="s">
        <v>118</v>
      </c>
      <c r="B37" s="14">
        <v>100201</v>
      </c>
      <c r="C37" s="14">
        <v>54260</v>
      </c>
      <c r="E37" s="13" t="s">
        <v>118</v>
      </c>
      <c r="F37" s="14">
        <v>100201</v>
      </c>
      <c r="G37" s="14">
        <v>54260</v>
      </c>
    </row>
    <row r="38" spans="1:7" x14ac:dyDescent="0.25">
      <c r="A38" s="13" t="s">
        <v>35</v>
      </c>
      <c r="B38" s="14">
        <v>86839</v>
      </c>
      <c r="C38" s="14">
        <v>48167</v>
      </c>
      <c r="E38" s="13" t="s">
        <v>35</v>
      </c>
      <c r="F38" s="14">
        <v>86839</v>
      </c>
      <c r="G38" s="14">
        <v>48167</v>
      </c>
    </row>
    <row r="39" spans="1:7" x14ac:dyDescent="0.25">
      <c r="A39" s="13" t="s">
        <v>126</v>
      </c>
      <c r="B39" s="14">
        <v>21818</v>
      </c>
      <c r="C39" s="14">
        <v>11562</v>
      </c>
      <c r="E39" s="13" t="s">
        <v>126</v>
      </c>
      <c r="F39" s="14">
        <v>21818</v>
      </c>
      <c r="G39" s="14">
        <v>11562</v>
      </c>
    </row>
    <row r="40" spans="1:7" x14ac:dyDescent="0.25">
      <c r="A40" s="13" t="s">
        <v>121</v>
      </c>
      <c r="B40" s="14">
        <v>82279</v>
      </c>
      <c r="C40" s="14">
        <v>40872</v>
      </c>
      <c r="E40" s="13" t="s">
        <v>121</v>
      </c>
      <c r="F40" s="14">
        <v>82279</v>
      </c>
      <c r="G40" s="14">
        <v>40872</v>
      </c>
    </row>
    <row r="41" spans="1:7" x14ac:dyDescent="0.25">
      <c r="A41" s="13" t="s">
        <v>176</v>
      </c>
      <c r="B41" s="14">
        <v>291137</v>
      </c>
      <c r="C41" s="14">
        <v>154861</v>
      </c>
      <c r="E41" s="13" t="s">
        <v>176</v>
      </c>
      <c r="F41" s="14">
        <v>291137</v>
      </c>
      <c r="G41" s="14">
        <v>154861</v>
      </c>
    </row>
    <row r="46" spans="1:7" x14ac:dyDescent="0.25">
      <c r="A46" s="12" t="s">
        <v>175</v>
      </c>
      <c r="B46" t="s">
        <v>241</v>
      </c>
      <c r="E46" s="12" t="s">
        <v>175</v>
      </c>
      <c r="F46" t="s">
        <v>241</v>
      </c>
    </row>
    <row r="47" spans="1:7" x14ac:dyDescent="0.25">
      <c r="A47" s="16" t="s">
        <v>180</v>
      </c>
      <c r="B47" s="14">
        <v>3137</v>
      </c>
      <c r="E47" s="13" t="s">
        <v>120</v>
      </c>
      <c r="F47" s="14">
        <v>44382</v>
      </c>
    </row>
    <row r="48" spans="1:7" x14ac:dyDescent="0.25">
      <c r="A48" s="16" t="s">
        <v>181</v>
      </c>
      <c r="B48" s="14">
        <v>1399</v>
      </c>
      <c r="E48" s="13" t="s">
        <v>125</v>
      </c>
      <c r="F48" s="14">
        <v>41850</v>
      </c>
    </row>
    <row r="49" spans="1:6" x14ac:dyDescent="0.25">
      <c r="A49" s="16" t="s">
        <v>182</v>
      </c>
      <c r="B49" s="14">
        <v>2771</v>
      </c>
      <c r="E49" s="13" t="s">
        <v>117</v>
      </c>
      <c r="F49" s="14">
        <v>42605</v>
      </c>
    </row>
    <row r="50" spans="1:6" x14ac:dyDescent="0.25">
      <c r="A50" s="16" t="s">
        <v>183</v>
      </c>
      <c r="B50" s="14">
        <v>18690</v>
      </c>
      <c r="E50" s="13" t="s">
        <v>123</v>
      </c>
      <c r="F50" s="14">
        <v>26024</v>
      </c>
    </row>
    <row r="51" spans="1:6" x14ac:dyDescent="0.25">
      <c r="A51" s="16" t="s">
        <v>184</v>
      </c>
      <c r="B51" s="14">
        <v>7390</v>
      </c>
      <c r="E51" s="13" t="s">
        <v>176</v>
      </c>
      <c r="F51" s="14">
        <v>154861</v>
      </c>
    </row>
    <row r="52" spans="1:6" x14ac:dyDescent="0.25">
      <c r="A52" s="16" t="s">
        <v>185</v>
      </c>
      <c r="B52" s="14">
        <v>6608</v>
      </c>
    </row>
    <row r="53" spans="1:6" x14ac:dyDescent="0.25">
      <c r="A53" s="16" t="s">
        <v>186</v>
      </c>
      <c r="B53" s="14">
        <v>40058</v>
      </c>
    </row>
    <row r="54" spans="1:6" x14ac:dyDescent="0.25">
      <c r="A54" s="16" t="s">
        <v>187</v>
      </c>
      <c r="B54" s="14">
        <v>21858</v>
      </c>
      <c r="E54" s="10" t="s">
        <v>240</v>
      </c>
      <c r="F54" s="10" t="s">
        <v>241</v>
      </c>
    </row>
    <row r="55" spans="1:6" x14ac:dyDescent="0.25">
      <c r="A55" s="16" t="s">
        <v>188</v>
      </c>
      <c r="B55" s="14">
        <v>23100</v>
      </c>
      <c r="E55" s="14">
        <v>291137</v>
      </c>
      <c r="F55" s="14">
        <v>154861</v>
      </c>
    </row>
    <row r="56" spans="1:6" x14ac:dyDescent="0.25">
      <c r="A56" s="16" t="s">
        <v>189</v>
      </c>
      <c r="B56" s="14">
        <v>7045</v>
      </c>
    </row>
    <row r="57" spans="1:6" x14ac:dyDescent="0.25">
      <c r="A57" s="16" t="s">
        <v>190</v>
      </c>
      <c r="B57" s="14">
        <v>12382</v>
      </c>
      <c r="E57" t="s">
        <v>242</v>
      </c>
    </row>
    <row r="58" spans="1:6" x14ac:dyDescent="0.25">
      <c r="A58" s="16" t="s">
        <v>191</v>
      </c>
      <c r="B58" s="14">
        <v>10423</v>
      </c>
      <c r="E58">
        <f>SUM(D2:D31)</f>
        <v>291137</v>
      </c>
      <c r="F58" t="s">
        <v>243</v>
      </c>
    </row>
    <row r="59" spans="1:6" x14ac:dyDescent="0.25">
      <c r="A59" s="16" t="s">
        <v>176</v>
      </c>
      <c r="B59" s="14">
        <v>154861</v>
      </c>
      <c r="E59">
        <f>SUM(C2:C31)</f>
        <v>154861</v>
      </c>
      <c r="F59" t="s">
        <v>244</v>
      </c>
    </row>
    <row r="60" spans="1:6" x14ac:dyDescent="0.25">
      <c r="E60">
        <f>(E59/E58)-1</f>
        <v>-0.46808203697915418</v>
      </c>
      <c r="F60" t="s">
        <v>245</v>
      </c>
    </row>
  </sheetData>
  <conditionalFormatting sqref="E60">
    <cfRule type="colorScale" priority="1">
      <colorScale>
        <cfvo type="min"/>
        <cfvo type="percentile" val="50"/>
        <cfvo type="max"/>
        <color rgb="FF63BE7B"/>
        <color rgb="FFFFEB84"/>
        <color rgb="FFF8696B"/>
      </colorScale>
    </cfRule>
  </conditionalFormatting>
  <conditionalFormatting sqref="E58">
    <cfRule type="colorScale" priority="3">
      <colorScale>
        <cfvo type="min"/>
        <cfvo type="percentile" val="50"/>
        <cfvo type="max"/>
        <color rgb="FFF8696B"/>
        <color rgb="FFFFEB84"/>
        <color rgb="FF63BE7B"/>
      </colorScale>
    </cfRule>
  </conditionalFormatting>
  <conditionalFormatting sqref="E59">
    <cfRule type="colorScale" priority="2">
      <colorScale>
        <cfvo type="min"/>
        <cfvo type="percentile" val="50"/>
        <cfvo type="max"/>
        <color rgb="FFF8696B"/>
        <color rgb="FFFFEB84"/>
        <color rgb="FF63BE7B"/>
      </colorScale>
    </cfRule>
  </conditionalFormatting>
  <pageMargins left="0.7" right="0.7" top="0.75" bottom="0.75" header="0.3" footer="0.3"/>
  <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1CD9-53DC-4C2C-A87C-2FD41E346F2C}">
  <dimension ref="A1:H69"/>
  <sheetViews>
    <sheetView tabSelected="1" topLeftCell="A36" workbookViewId="0">
      <selection activeCell="H37" sqref="H37"/>
    </sheetView>
  </sheetViews>
  <sheetFormatPr defaultRowHeight="15" x14ac:dyDescent="0.25"/>
  <cols>
    <col min="1" max="1" width="13.140625" bestFit="1" customWidth="1"/>
    <col min="2" max="2" width="18.5703125" bestFit="1" customWidth="1"/>
    <col min="3" max="3" width="19" bestFit="1" customWidth="1"/>
    <col min="4" max="4" width="11.28515625" bestFit="1" customWidth="1"/>
    <col min="5" max="5" width="20.42578125" customWidth="1"/>
    <col min="6" max="6" width="21.42578125" customWidth="1"/>
    <col min="7" max="7" width="13.140625" bestFit="1" customWidth="1"/>
    <col min="8" max="8" width="33.28515625" bestFit="1" customWidth="1"/>
    <col min="9" max="9" width="8.42578125" bestFit="1" customWidth="1"/>
    <col min="10" max="10" width="11.28515625" bestFit="1" customWidth="1"/>
  </cols>
  <sheetData>
    <row r="1" spans="1:8" x14ac:dyDescent="0.25">
      <c r="A1" s="3" t="s">
        <v>127</v>
      </c>
      <c r="B1" s="3" t="s">
        <v>128</v>
      </c>
      <c r="C1" s="3" t="s">
        <v>129</v>
      </c>
      <c r="D1" s="3" t="s">
        <v>130</v>
      </c>
      <c r="E1" s="3" t="s">
        <v>3</v>
      </c>
      <c r="F1" s="3" t="s">
        <v>131</v>
      </c>
      <c r="G1" s="3" t="s">
        <v>132</v>
      </c>
      <c r="H1" s="3" t="s">
        <v>133</v>
      </c>
    </row>
    <row r="2" spans="1:8" x14ac:dyDescent="0.25">
      <c r="A2" s="10" t="s">
        <v>134</v>
      </c>
      <c r="B2" s="10" t="s">
        <v>135</v>
      </c>
      <c r="C2" s="11">
        <v>45049</v>
      </c>
      <c r="D2" s="11">
        <v>45056</v>
      </c>
      <c r="E2" s="10" t="s">
        <v>136</v>
      </c>
      <c r="F2" s="10">
        <v>6604</v>
      </c>
      <c r="G2" s="10" t="s">
        <v>137</v>
      </c>
      <c r="H2" s="10">
        <v>7</v>
      </c>
    </row>
    <row r="3" spans="1:8" x14ac:dyDescent="0.25">
      <c r="A3" s="10" t="s">
        <v>138</v>
      </c>
      <c r="B3" s="10" t="s">
        <v>135</v>
      </c>
      <c r="C3" s="11">
        <v>45065</v>
      </c>
      <c r="D3" s="11">
        <v>45066</v>
      </c>
      <c r="E3" s="10" t="s">
        <v>139</v>
      </c>
      <c r="F3" s="10">
        <v>32671</v>
      </c>
      <c r="G3" s="10" t="s">
        <v>137</v>
      </c>
      <c r="H3" s="10">
        <v>1</v>
      </c>
    </row>
    <row r="4" spans="1:8" x14ac:dyDescent="0.25">
      <c r="A4" s="10" t="s">
        <v>140</v>
      </c>
      <c r="B4" s="10" t="s">
        <v>141</v>
      </c>
      <c r="C4" s="11">
        <v>44977</v>
      </c>
      <c r="D4" s="11">
        <v>44983</v>
      </c>
      <c r="E4" s="10" t="s">
        <v>139</v>
      </c>
      <c r="F4" s="10">
        <v>38799</v>
      </c>
      <c r="G4" s="10" t="s">
        <v>137</v>
      </c>
      <c r="H4" s="10">
        <v>6</v>
      </c>
    </row>
    <row r="5" spans="1:8" x14ac:dyDescent="0.25">
      <c r="A5" s="10" t="s">
        <v>142</v>
      </c>
      <c r="B5" s="10" t="s">
        <v>143</v>
      </c>
      <c r="C5" s="11">
        <v>45200</v>
      </c>
      <c r="D5" s="11">
        <v>45203</v>
      </c>
      <c r="E5" s="10" t="s">
        <v>144</v>
      </c>
      <c r="F5" s="10">
        <v>40016</v>
      </c>
      <c r="G5" s="10" t="s">
        <v>137</v>
      </c>
      <c r="H5" s="10">
        <v>3</v>
      </c>
    </row>
    <row r="6" spans="1:8" x14ac:dyDescent="0.25">
      <c r="A6" s="10" t="s">
        <v>145</v>
      </c>
      <c r="B6" s="10" t="s">
        <v>143</v>
      </c>
      <c r="C6" s="11">
        <v>45223</v>
      </c>
      <c r="D6" s="11">
        <v>45233</v>
      </c>
      <c r="E6" s="10" t="s">
        <v>139</v>
      </c>
      <c r="F6" s="10">
        <v>15591</v>
      </c>
      <c r="G6" s="10" t="s">
        <v>146</v>
      </c>
      <c r="H6" s="10">
        <v>10</v>
      </c>
    </row>
    <row r="7" spans="1:8" x14ac:dyDescent="0.25">
      <c r="A7" s="10" t="s">
        <v>147</v>
      </c>
      <c r="B7" s="10" t="s">
        <v>148</v>
      </c>
      <c r="C7" s="11">
        <v>45238</v>
      </c>
      <c r="D7" s="11">
        <v>45243</v>
      </c>
      <c r="E7" s="10" t="s">
        <v>149</v>
      </c>
      <c r="F7" s="10">
        <v>6929</v>
      </c>
      <c r="G7" s="10" t="s">
        <v>146</v>
      </c>
      <c r="H7" s="10">
        <v>5</v>
      </c>
    </row>
    <row r="8" spans="1:8" x14ac:dyDescent="0.25">
      <c r="A8" s="10" t="s">
        <v>150</v>
      </c>
      <c r="B8" s="10" t="s">
        <v>141</v>
      </c>
      <c r="C8" s="11">
        <v>45111</v>
      </c>
      <c r="D8" s="11">
        <v>45120</v>
      </c>
      <c r="E8" s="10" t="s">
        <v>139</v>
      </c>
      <c r="F8" s="10">
        <v>32236</v>
      </c>
      <c r="G8" s="10" t="s">
        <v>137</v>
      </c>
      <c r="H8" s="10">
        <v>9</v>
      </c>
    </row>
    <row r="9" spans="1:8" x14ac:dyDescent="0.25">
      <c r="A9" s="10" t="s">
        <v>151</v>
      </c>
      <c r="B9" s="10" t="s">
        <v>141</v>
      </c>
      <c r="C9" s="11">
        <v>45143</v>
      </c>
      <c r="D9" s="11">
        <v>45153</v>
      </c>
      <c r="E9" s="10" t="s">
        <v>136</v>
      </c>
      <c r="F9" s="10">
        <v>7082</v>
      </c>
      <c r="G9" s="10" t="s">
        <v>137</v>
      </c>
      <c r="H9" s="10">
        <v>10</v>
      </c>
    </row>
    <row r="10" spans="1:8" x14ac:dyDescent="0.25">
      <c r="A10" s="10" t="s">
        <v>152</v>
      </c>
      <c r="B10" s="10" t="s">
        <v>148</v>
      </c>
      <c r="C10" s="11">
        <v>45125</v>
      </c>
      <c r="D10" s="11">
        <v>45132</v>
      </c>
      <c r="E10" s="10" t="s">
        <v>136</v>
      </c>
      <c r="F10" s="10">
        <v>40232</v>
      </c>
      <c r="G10" s="10" t="s">
        <v>137</v>
      </c>
      <c r="H10" s="10">
        <v>7</v>
      </c>
    </row>
    <row r="11" spans="1:8" x14ac:dyDescent="0.25">
      <c r="A11" s="10" t="s">
        <v>153</v>
      </c>
      <c r="B11" s="10" t="s">
        <v>135</v>
      </c>
      <c r="C11" s="11">
        <v>45199</v>
      </c>
      <c r="D11" s="11">
        <v>45206</v>
      </c>
      <c r="E11" s="10" t="s">
        <v>144</v>
      </c>
      <c r="F11" s="10">
        <v>34502</v>
      </c>
      <c r="G11" s="10" t="s">
        <v>137</v>
      </c>
      <c r="H11" s="10">
        <v>7</v>
      </c>
    </row>
    <row r="12" spans="1:8" x14ac:dyDescent="0.25">
      <c r="A12" s="10" t="s">
        <v>154</v>
      </c>
      <c r="B12" s="10" t="s">
        <v>141</v>
      </c>
      <c r="C12" s="11">
        <v>45068</v>
      </c>
      <c r="D12" s="11">
        <v>45070</v>
      </c>
      <c r="E12" s="10" t="s">
        <v>149</v>
      </c>
      <c r="F12" s="10">
        <v>22818</v>
      </c>
      <c r="G12" s="10" t="s">
        <v>146</v>
      </c>
      <c r="H12" s="10">
        <v>2</v>
      </c>
    </row>
    <row r="13" spans="1:8" x14ac:dyDescent="0.25">
      <c r="A13" s="10" t="s">
        <v>155</v>
      </c>
      <c r="B13" s="10" t="s">
        <v>143</v>
      </c>
      <c r="C13" s="11">
        <v>45207</v>
      </c>
      <c r="D13" s="11">
        <v>45217</v>
      </c>
      <c r="E13" s="10" t="s">
        <v>144</v>
      </c>
      <c r="F13" s="10">
        <v>45236</v>
      </c>
      <c r="G13" s="10" t="s">
        <v>146</v>
      </c>
      <c r="H13" s="10">
        <v>10</v>
      </c>
    </row>
    <row r="14" spans="1:8" x14ac:dyDescent="0.25">
      <c r="A14" s="10" t="s">
        <v>156</v>
      </c>
      <c r="B14" s="10" t="s">
        <v>148</v>
      </c>
      <c r="C14" s="11">
        <v>45130</v>
      </c>
      <c r="D14" s="11">
        <v>45137</v>
      </c>
      <c r="E14" s="10" t="s">
        <v>149</v>
      </c>
      <c r="F14" s="10">
        <v>47188</v>
      </c>
      <c r="G14" s="10" t="s">
        <v>137</v>
      </c>
      <c r="H14" s="10">
        <v>7</v>
      </c>
    </row>
    <row r="15" spans="1:8" x14ac:dyDescent="0.25">
      <c r="A15" s="10" t="s">
        <v>157</v>
      </c>
      <c r="B15" s="10" t="s">
        <v>143</v>
      </c>
      <c r="C15" s="11">
        <v>45182</v>
      </c>
      <c r="D15" s="11">
        <v>45188</v>
      </c>
      <c r="E15" s="10" t="s">
        <v>149</v>
      </c>
      <c r="F15" s="10">
        <v>40135</v>
      </c>
      <c r="G15" s="10" t="s">
        <v>146</v>
      </c>
      <c r="H15" s="10">
        <v>6</v>
      </c>
    </row>
    <row r="16" spans="1:8" x14ac:dyDescent="0.25">
      <c r="A16" s="10" t="s">
        <v>158</v>
      </c>
      <c r="B16" s="10" t="s">
        <v>159</v>
      </c>
      <c r="C16" s="11">
        <v>45218</v>
      </c>
      <c r="D16" s="11">
        <v>45221</v>
      </c>
      <c r="E16" s="10" t="s">
        <v>139</v>
      </c>
      <c r="F16" s="10">
        <v>36682</v>
      </c>
      <c r="G16" s="10" t="s">
        <v>146</v>
      </c>
      <c r="H16" s="10">
        <v>3</v>
      </c>
    </row>
    <row r="17" spans="1:8" x14ac:dyDescent="0.25">
      <c r="A17" s="10" t="s">
        <v>160</v>
      </c>
      <c r="B17" s="10" t="s">
        <v>143</v>
      </c>
      <c r="C17" s="11">
        <v>45006</v>
      </c>
      <c r="D17" s="11">
        <v>45013</v>
      </c>
      <c r="E17" s="10" t="s">
        <v>136</v>
      </c>
      <c r="F17" s="10">
        <v>14341</v>
      </c>
      <c r="G17" s="10" t="s">
        <v>146</v>
      </c>
      <c r="H17" s="10">
        <v>7</v>
      </c>
    </row>
    <row r="18" spans="1:8" x14ac:dyDescent="0.25">
      <c r="A18" s="10" t="s">
        <v>161</v>
      </c>
      <c r="B18" s="10" t="s">
        <v>159</v>
      </c>
      <c r="C18" s="11">
        <v>45135</v>
      </c>
      <c r="D18" s="11">
        <v>45141</v>
      </c>
      <c r="E18" s="10" t="s">
        <v>149</v>
      </c>
      <c r="F18" s="10">
        <v>20862</v>
      </c>
      <c r="G18" s="10" t="s">
        <v>146</v>
      </c>
      <c r="H18" s="10">
        <v>6</v>
      </c>
    </row>
    <row r="19" spans="1:8" x14ac:dyDescent="0.25">
      <c r="A19" s="10" t="s">
        <v>162</v>
      </c>
      <c r="B19" s="10" t="s">
        <v>143</v>
      </c>
      <c r="C19" s="11">
        <v>44958</v>
      </c>
      <c r="D19" s="11">
        <v>44959</v>
      </c>
      <c r="E19" s="10" t="s">
        <v>139</v>
      </c>
      <c r="F19" s="10">
        <v>46396</v>
      </c>
      <c r="G19" s="10" t="s">
        <v>137</v>
      </c>
      <c r="H19" s="10">
        <v>1</v>
      </c>
    </row>
    <row r="20" spans="1:8" x14ac:dyDescent="0.25">
      <c r="A20" s="10" t="s">
        <v>163</v>
      </c>
      <c r="B20" s="10" t="s">
        <v>141</v>
      </c>
      <c r="C20" s="11">
        <v>45196</v>
      </c>
      <c r="D20" s="11">
        <v>45197</v>
      </c>
      <c r="E20" s="10" t="s">
        <v>139</v>
      </c>
      <c r="F20" s="10">
        <v>13146</v>
      </c>
      <c r="G20" s="10" t="s">
        <v>146</v>
      </c>
      <c r="H20" s="10">
        <v>1</v>
      </c>
    </row>
    <row r="21" spans="1:8" x14ac:dyDescent="0.25">
      <c r="A21" s="10" t="s">
        <v>164</v>
      </c>
      <c r="B21" s="10" t="s">
        <v>159</v>
      </c>
      <c r="C21" s="11">
        <v>45253</v>
      </c>
      <c r="D21" s="11">
        <v>45261</v>
      </c>
      <c r="E21" s="10" t="s">
        <v>136</v>
      </c>
      <c r="F21" s="10">
        <v>30201</v>
      </c>
      <c r="G21" s="10" t="s">
        <v>137</v>
      </c>
      <c r="H21" s="10">
        <v>8</v>
      </c>
    </row>
    <row r="22" spans="1:8" x14ac:dyDescent="0.25">
      <c r="A22" s="10" t="s">
        <v>165</v>
      </c>
      <c r="B22" s="10" t="s">
        <v>159</v>
      </c>
      <c r="C22" s="11">
        <v>45090</v>
      </c>
      <c r="D22" s="11">
        <v>45096</v>
      </c>
      <c r="E22" s="10" t="s">
        <v>139</v>
      </c>
      <c r="F22" s="10">
        <v>14442</v>
      </c>
      <c r="G22" s="10" t="s">
        <v>146</v>
      </c>
      <c r="H22" s="10">
        <v>6</v>
      </c>
    </row>
    <row r="23" spans="1:8" x14ac:dyDescent="0.25">
      <c r="A23" s="10" t="s">
        <v>166</v>
      </c>
      <c r="B23" s="10" t="s">
        <v>135</v>
      </c>
      <c r="C23" s="11">
        <v>45039</v>
      </c>
      <c r="D23" s="11">
        <v>45049</v>
      </c>
      <c r="E23" s="10" t="s">
        <v>136</v>
      </c>
      <c r="F23" s="10">
        <v>43861</v>
      </c>
      <c r="G23" s="10" t="s">
        <v>137</v>
      </c>
      <c r="H23" s="10">
        <v>10</v>
      </c>
    </row>
    <row r="24" spans="1:8" x14ac:dyDescent="0.25">
      <c r="A24" s="10" t="s">
        <v>167</v>
      </c>
      <c r="B24" s="10" t="s">
        <v>143</v>
      </c>
      <c r="C24" s="11">
        <v>45141</v>
      </c>
      <c r="D24" s="11">
        <v>45148</v>
      </c>
      <c r="E24" s="10" t="s">
        <v>139</v>
      </c>
      <c r="F24" s="10">
        <v>8349</v>
      </c>
      <c r="G24" s="10" t="s">
        <v>146</v>
      </c>
      <c r="H24" s="10">
        <v>7</v>
      </c>
    </row>
    <row r="25" spans="1:8" x14ac:dyDescent="0.25">
      <c r="A25" s="10" t="s">
        <v>168</v>
      </c>
      <c r="B25" s="10" t="s">
        <v>141</v>
      </c>
      <c r="C25" s="11">
        <v>45071</v>
      </c>
      <c r="D25" s="11">
        <v>45072</v>
      </c>
      <c r="E25" s="10" t="s">
        <v>144</v>
      </c>
      <c r="F25" s="10">
        <v>5730</v>
      </c>
      <c r="G25" s="10" t="s">
        <v>137</v>
      </c>
      <c r="H25" s="10">
        <v>1</v>
      </c>
    </row>
    <row r="26" spans="1:8" x14ac:dyDescent="0.25">
      <c r="A26" s="10" t="s">
        <v>169</v>
      </c>
      <c r="B26" s="10" t="s">
        <v>143</v>
      </c>
      <c r="C26" s="11">
        <v>45050</v>
      </c>
      <c r="D26" s="11">
        <v>45057</v>
      </c>
      <c r="E26" s="10" t="s">
        <v>136</v>
      </c>
      <c r="F26" s="10">
        <v>48063</v>
      </c>
      <c r="G26" s="10" t="s">
        <v>146</v>
      </c>
      <c r="H26" s="10">
        <v>7</v>
      </c>
    </row>
    <row r="27" spans="1:8" x14ac:dyDescent="0.25">
      <c r="A27" s="10" t="s">
        <v>170</v>
      </c>
      <c r="B27" s="10" t="s">
        <v>135</v>
      </c>
      <c r="C27" s="11">
        <v>45211</v>
      </c>
      <c r="D27" s="11">
        <v>45213</v>
      </c>
      <c r="E27" s="10" t="s">
        <v>136</v>
      </c>
      <c r="F27" s="10">
        <v>12868</v>
      </c>
      <c r="G27" s="10" t="s">
        <v>137</v>
      </c>
      <c r="H27" s="10">
        <v>2</v>
      </c>
    </row>
    <row r="28" spans="1:8" x14ac:dyDescent="0.25">
      <c r="A28" s="10" t="s">
        <v>171</v>
      </c>
      <c r="B28" s="10" t="s">
        <v>148</v>
      </c>
      <c r="C28" s="11">
        <v>45081</v>
      </c>
      <c r="D28" s="11">
        <v>45090</v>
      </c>
      <c r="E28" s="10" t="s">
        <v>139</v>
      </c>
      <c r="F28" s="10">
        <v>31361</v>
      </c>
      <c r="G28" s="10" t="s">
        <v>137</v>
      </c>
      <c r="H28" s="10">
        <v>9</v>
      </c>
    </row>
    <row r="29" spans="1:8" x14ac:dyDescent="0.25">
      <c r="A29" s="10" t="s">
        <v>172</v>
      </c>
      <c r="B29" s="10" t="s">
        <v>141</v>
      </c>
      <c r="C29" s="11">
        <v>44982</v>
      </c>
      <c r="D29" s="11">
        <v>44988</v>
      </c>
      <c r="E29" s="10" t="s">
        <v>136</v>
      </c>
      <c r="F29" s="10">
        <v>5861</v>
      </c>
      <c r="G29" s="10" t="s">
        <v>146</v>
      </c>
      <c r="H29" s="10">
        <v>6</v>
      </c>
    </row>
    <row r="30" spans="1:8" x14ac:dyDescent="0.25">
      <c r="A30" s="10" t="s">
        <v>173</v>
      </c>
      <c r="B30" s="10" t="s">
        <v>159</v>
      </c>
      <c r="C30" s="11">
        <v>45236</v>
      </c>
      <c r="D30" s="11">
        <v>45245</v>
      </c>
      <c r="E30" s="10" t="s">
        <v>149</v>
      </c>
      <c r="F30" s="10">
        <v>30084</v>
      </c>
      <c r="G30" s="10" t="s">
        <v>137</v>
      </c>
      <c r="H30" s="10">
        <v>9</v>
      </c>
    </row>
    <row r="31" spans="1:8" x14ac:dyDescent="0.25">
      <c r="A31" s="10" t="s">
        <v>174</v>
      </c>
      <c r="B31" s="10" t="s">
        <v>143</v>
      </c>
      <c r="C31" s="11">
        <v>45250</v>
      </c>
      <c r="D31" s="11">
        <v>45253</v>
      </c>
      <c r="E31" s="10" t="s">
        <v>149</v>
      </c>
      <c r="F31" s="10">
        <v>13255</v>
      </c>
      <c r="G31" s="10" t="s">
        <v>137</v>
      </c>
      <c r="H31" s="10">
        <v>3</v>
      </c>
    </row>
    <row r="34" spans="1:8" x14ac:dyDescent="0.25">
      <c r="A34" s="12" t="s">
        <v>247</v>
      </c>
      <c r="B34" s="12" t="s">
        <v>197</v>
      </c>
      <c r="G34" s="12" t="s">
        <v>175</v>
      </c>
      <c r="H34" t="s">
        <v>248</v>
      </c>
    </row>
    <row r="35" spans="1:8" x14ac:dyDescent="0.25">
      <c r="A35" s="12" t="s">
        <v>175</v>
      </c>
      <c r="B35" s="10" t="s">
        <v>146</v>
      </c>
      <c r="C35" s="10" t="s">
        <v>137</v>
      </c>
      <c r="D35" s="10" t="s">
        <v>176</v>
      </c>
      <c r="G35" s="13" t="s">
        <v>139</v>
      </c>
      <c r="H35" s="14">
        <v>5.3</v>
      </c>
    </row>
    <row r="36" spans="1:8" x14ac:dyDescent="0.25">
      <c r="A36" s="13" t="s">
        <v>135</v>
      </c>
      <c r="B36" s="14"/>
      <c r="C36" s="14">
        <v>5</v>
      </c>
      <c r="D36" s="14">
        <v>5</v>
      </c>
      <c r="G36" s="13" t="s">
        <v>149</v>
      </c>
      <c r="H36" s="14">
        <v>5.4285714285714288</v>
      </c>
    </row>
    <row r="37" spans="1:8" x14ac:dyDescent="0.25">
      <c r="A37" s="13" t="s">
        <v>159</v>
      </c>
      <c r="B37" s="14">
        <v>3</v>
      </c>
      <c r="C37" s="14">
        <v>2</v>
      </c>
      <c r="D37" s="14">
        <v>5</v>
      </c>
      <c r="G37" s="13" t="s">
        <v>144</v>
      </c>
      <c r="H37" s="14">
        <v>5.25</v>
      </c>
    </row>
    <row r="38" spans="1:8" x14ac:dyDescent="0.25">
      <c r="A38" s="13" t="s">
        <v>143</v>
      </c>
      <c r="B38" s="14">
        <v>6</v>
      </c>
      <c r="C38" s="14">
        <v>3</v>
      </c>
      <c r="D38" s="14">
        <v>9</v>
      </c>
      <c r="G38" s="13" t="s">
        <v>136</v>
      </c>
      <c r="H38" s="14">
        <v>7.1111111111111107</v>
      </c>
    </row>
    <row r="39" spans="1:8" x14ac:dyDescent="0.25">
      <c r="A39" s="13" t="s">
        <v>148</v>
      </c>
      <c r="B39" s="14">
        <v>1</v>
      </c>
      <c r="C39" s="14">
        <v>3</v>
      </c>
      <c r="D39" s="14">
        <v>4</v>
      </c>
      <c r="G39" s="13" t="s">
        <v>176</v>
      </c>
      <c r="H39" s="14">
        <v>5.8666666666666663</v>
      </c>
    </row>
    <row r="40" spans="1:8" x14ac:dyDescent="0.25">
      <c r="A40" s="13" t="s">
        <v>141</v>
      </c>
      <c r="B40" s="14">
        <v>3</v>
      </c>
      <c r="C40" s="14">
        <v>4</v>
      </c>
      <c r="D40" s="14">
        <v>7</v>
      </c>
    </row>
    <row r="41" spans="1:8" x14ac:dyDescent="0.25">
      <c r="A41" s="13" t="s">
        <v>176</v>
      </c>
      <c r="B41" s="14">
        <v>13</v>
      </c>
      <c r="C41" s="14">
        <v>17</v>
      </c>
      <c r="D41" s="14">
        <v>30</v>
      </c>
    </row>
    <row r="44" spans="1:8" x14ac:dyDescent="0.25">
      <c r="A44" s="12" t="s">
        <v>175</v>
      </c>
      <c r="B44" s="10" t="s">
        <v>249</v>
      </c>
      <c r="C44" s="10" t="s">
        <v>250</v>
      </c>
      <c r="G44" s="12" t="s">
        <v>175</v>
      </c>
      <c r="H44" t="s">
        <v>246</v>
      </c>
    </row>
    <row r="45" spans="1:8" x14ac:dyDescent="0.25">
      <c r="A45" s="16" t="s">
        <v>181</v>
      </c>
      <c r="B45" s="14">
        <v>91056</v>
      </c>
      <c r="C45" s="14">
        <v>3</v>
      </c>
      <c r="G45" s="13" t="s">
        <v>135</v>
      </c>
      <c r="H45" s="14">
        <v>5</v>
      </c>
    </row>
    <row r="46" spans="1:8" x14ac:dyDescent="0.25">
      <c r="A46" s="16" t="s">
        <v>182</v>
      </c>
      <c r="B46" s="14">
        <v>14341</v>
      </c>
      <c r="C46" s="14">
        <v>1</v>
      </c>
      <c r="G46" s="13" t="s">
        <v>159</v>
      </c>
      <c r="H46" s="14">
        <v>5</v>
      </c>
    </row>
    <row r="47" spans="1:8" x14ac:dyDescent="0.25">
      <c r="A47" s="16" t="s">
        <v>183</v>
      </c>
      <c r="B47" s="14">
        <v>43861</v>
      </c>
      <c r="C47" s="14">
        <v>1</v>
      </c>
      <c r="G47" s="13" t="s">
        <v>143</v>
      </c>
      <c r="H47" s="14">
        <v>9</v>
      </c>
    </row>
    <row r="48" spans="1:8" x14ac:dyDescent="0.25">
      <c r="A48" s="16" t="s">
        <v>184</v>
      </c>
      <c r="B48" s="14">
        <v>115886</v>
      </c>
      <c r="C48" s="14">
        <v>5</v>
      </c>
      <c r="G48" s="13" t="s">
        <v>148</v>
      </c>
      <c r="H48" s="14">
        <v>4</v>
      </c>
    </row>
    <row r="49" spans="1:8" x14ac:dyDescent="0.25">
      <c r="A49" s="16" t="s">
        <v>185</v>
      </c>
      <c r="B49" s="14">
        <v>45803</v>
      </c>
      <c r="C49" s="14">
        <v>2</v>
      </c>
      <c r="G49" s="13" t="s">
        <v>141</v>
      </c>
      <c r="H49" s="14">
        <v>7</v>
      </c>
    </row>
    <row r="50" spans="1:8" x14ac:dyDescent="0.25">
      <c r="A50" s="16" t="s">
        <v>186</v>
      </c>
      <c r="B50" s="14">
        <v>140518</v>
      </c>
      <c r="C50" s="14">
        <v>4</v>
      </c>
      <c r="G50" s="13" t="s">
        <v>176</v>
      </c>
      <c r="H50" s="14">
        <v>30</v>
      </c>
    </row>
    <row r="51" spans="1:8" x14ac:dyDescent="0.25">
      <c r="A51" s="16" t="s">
        <v>187</v>
      </c>
      <c r="B51" s="14">
        <v>15431</v>
      </c>
      <c r="C51" s="14">
        <v>2</v>
      </c>
    </row>
    <row r="52" spans="1:8" x14ac:dyDescent="0.25">
      <c r="A52" s="16" t="s">
        <v>188</v>
      </c>
      <c r="B52" s="14">
        <v>87783</v>
      </c>
      <c r="C52" s="14">
        <v>3</v>
      </c>
    </row>
    <row r="53" spans="1:8" x14ac:dyDescent="0.25">
      <c r="A53" s="16" t="s">
        <v>189</v>
      </c>
      <c r="B53" s="14">
        <v>150393</v>
      </c>
      <c r="C53" s="14">
        <v>5</v>
      </c>
    </row>
    <row r="54" spans="1:8" x14ac:dyDescent="0.25">
      <c r="A54" s="16" t="s">
        <v>190</v>
      </c>
      <c r="B54" s="14">
        <v>80469</v>
      </c>
      <c r="C54" s="14">
        <v>4</v>
      </c>
    </row>
    <row r="55" spans="1:8" x14ac:dyDescent="0.25">
      <c r="A55" s="16" t="s">
        <v>176</v>
      </c>
      <c r="B55" s="14">
        <v>785541</v>
      </c>
      <c r="C55" s="14">
        <v>30</v>
      </c>
    </row>
    <row r="56" spans="1:8" x14ac:dyDescent="0.25">
      <c r="G56" s="10"/>
      <c r="H56" s="10"/>
    </row>
    <row r="58" spans="1:8" x14ac:dyDescent="0.25">
      <c r="A58" s="12" t="s">
        <v>175</v>
      </c>
      <c r="B58" s="10" t="s">
        <v>247</v>
      </c>
      <c r="C58" s="10" t="s">
        <v>249</v>
      </c>
    </row>
    <row r="59" spans="1:8" x14ac:dyDescent="0.25">
      <c r="A59" s="16" t="s">
        <v>181</v>
      </c>
      <c r="B59" s="14">
        <v>3</v>
      </c>
      <c r="C59" s="14">
        <v>91056</v>
      </c>
    </row>
    <row r="60" spans="1:8" x14ac:dyDescent="0.25">
      <c r="A60" s="16" t="s">
        <v>182</v>
      </c>
      <c r="B60" s="14">
        <v>1</v>
      </c>
      <c r="C60" s="14">
        <v>14341</v>
      </c>
    </row>
    <row r="61" spans="1:8" x14ac:dyDescent="0.25">
      <c r="A61" s="16" t="s">
        <v>183</v>
      </c>
      <c r="B61" s="14">
        <v>1</v>
      </c>
      <c r="C61" s="14">
        <v>43861</v>
      </c>
    </row>
    <row r="62" spans="1:8" x14ac:dyDescent="0.25">
      <c r="A62" s="16" t="s">
        <v>184</v>
      </c>
      <c r="B62" s="14">
        <v>5</v>
      </c>
      <c r="C62" s="14">
        <v>115886</v>
      </c>
    </row>
    <row r="63" spans="1:8" x14ac:dyDescent="0.25">
      <c r="A63" s="16" t="s">
        <v>185</v>
      </c>
      <c r="B63" s="14">
        <v>2</v>
      </c>
      <c r="C63" s="14">
        <v>45803</v>
      </c>
    </row>
    <row r="64" spans="1:8" x14ac:dyDescent="0.25">
      <c r="A64" s="16" t="s">
        <v>186</v>
      </c>
      <c r="B64" s="14">
        <v>4</v>
      </c>
      <c r="C64" s="14">
        <v>140518</v>
      </c>
    </row>
    <row r="65" spans="1:3" x14ac:dyDescent="0.25">
      <c r="A65" s="16" t="s">
        <v>187</v>
      </c>
      <c r="B65" s="14">
        <v>2</v>
      </c>
      <c r="C65" s="14">
        <v>15431</v>
      </c>
    </row>
    <row r="66" spans="1:3" x14ac:dyDescent="0.25">
      <c r="A66" s="16" t="s">
        <v>188</v>
      </c>
      <c r="B66" s="14">
        <v>3</v>
      </c>
      <c r="C66" s="14">
        <v>87783</v>
      </c>
    </row>
    <row r="67" spans="1:3" x14ac:dyDescent="0.25">
      <c r="A67" s="16" t="s">
        <v>189</v>
      </c>
      <c r="B67" s="14">
        <v>5</v>
      </c>
      <c r="C67" s="14">
        <v>150393</v>
      </c>
    </row>
    <row r="68" spans="1:3" x14ac:dyDescent="0.25">
      <c r="A68" s="16" t="s">
        <v>190</v>
      </c>
      <c r="B68" s="14">
        <v>4</v>
      </c>
      <c r="C68" s="14">
        <v>80469</v>
      </c>
    </row>
    <row r="69" spans="1:3" x14ac:dyDescent="0.25">
      <c r="A69" s="16" t="s">
        <v>176</v>
      </c>
      <c r="B69" s="14">
        <v>30</v>
      </c>
      <c r="C69" s="14">
        <v>785541</v>
      </c>
    </row>
  </sheetData>
  <pageMargins left="0.7" right="0.7" top="0.75" bottom="0.75" header="0.3" footer="0.3"/>
  <drawing r:id="rId6"/>
  <tableParts count="1">
    <tablePart r:id="rId7"/>
  </tableParts>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Analysis</vt:lpstr>
      <vt:lpstr>HR_Attrition</vt:lpstr>
      <vt:lpstr>Inventory</vt:lpstr>
      <vt:lpstr>Expense_Tracking</vt:lpstr>
      <vt:lpstr>Customer 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2025-08-14T11:39:32Z</dcterms:created>
  <dcterms:modified xsi:type="dcterms:W3CDTF">2025-08-17T08:56:54Z</dcterms:modified>
</cp:coreProperties>
</file>