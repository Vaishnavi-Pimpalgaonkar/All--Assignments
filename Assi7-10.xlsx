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13_ncr:1_{B78D352C-5FF1-4A2D-B244-AA70D742D87A}" xr6:coauthVersionLast="47" xr6:coauthVersionMax="47" xr10:uidLastSave="{00000000-0000-0000-0000-000000000000}"/>
  <bookViews>
    <workbookView xWindow="-120" yWindow="-120" windowWidth="20730" windowHeight="11160" xr2:uid="{B7AF86CB-224A-4A88-9E12-2F686A6EA496}"/>
  </bookViews>
  <sheets>
    <sheet name="mean_med_s.d" sheetId="1" r:id="rId1"/>
    <sheet name="pivot_table" sheetId="3" r:id="rId2"/>
  </sheets>
  <definedNames>
    <definedName name="_xlchart.v1.0" hidden="1">mean_med_s.d!$E$4:$E$103</definedName>
  </definedNames>
  <calcPr calcId="191029"/>
  <pivotCaches>
    <pivotCache cacheId="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75" i="1" l="1"/>
  <c r="B173" i="1"/>
  <c r="H170" i="1"/>
  <c r="P163" i="1" l="1"/>
  <c r="O162" i="1"/>
  <c r="O161" i="1"/>
  <c r="M163" i="1"/>
  <c r="L162" i="1"/>
  <c r="L161" i="1"/>
  <c r="L146" i="1" l="1"/>
  <c r="L144" i="1"/>
  <c r="N143" i="1"/>
  <c r="L143" i="1"/>
  <c r="L142" i="1"/>
  <c r="M138" i="1"/>
  <c r="L133" i="1"/>
  <c r="L132" i="1"/>
  <c r="L131" i="1"/>
  <c r="L130" i="1"/>
  <c r="L129" i="1"/>
  <c r="L128" i="1"/>
  <c r="B166" i="1"/>
  <c r="B165" i="1"/>
  <c r="B164" i="1"/>
  <c r="B160" i="1"/>
  <c r="B162" i="1"/>
  <c r="B161" i="1"/>
  <c r="B158" i="1"/>
  <c r="B157" i="1"/>
  <c r="B156" i="1"/>
  <c r="B154" i="1"/>
  <c r="B153" i="1"/>
  <c r="B152" i="1"/>
  <c r="B148" i="1"/>
  <c r="B147" i="1"/>
  <c r="B145" i="1"/>
  <c r="B144" i="1"/>
  <c r="B143" i="1"/>
  <c r="B142" i="1"/>
  <c r="B141" i="1"/>
  <c r="B139" i="1"/>
  <c r="B138" i="1"/>
  <c r="B137" i="1"/>
  <c r="B136" i="1"/>
  <c r="B135" i="1"/>
  <c r="B133" i="1"/>
  <c r="B132" i="1"/>
  <c r="B131" i="1"/>
  <c r="B130" i="1"/>
  <c r="B129" i="1"/>
  <c r="B127" i="1"/>
  <c r="B126" i="1"/>
  <c r="B125" i="1"/>
  <c r="B124" i="1"/>
  <c r="B123" i="1"/>
  <c r="B121" i="1"/>
  <c r="B120" i="1"/>
  <c r="B119" i="1"/>
  <c r="B118" i="1"/>
  <c r="B117" i="1"/>
  <c r="B116" i="1"/>
  <c r="B115" i="1"/>
  <c r="B110" i="1" l="1"/>
  <c r="B108" i="1"/>
  <c r="K70" i="1"/>
  <c r="I163" i="1"/>
  <c r="I161" i="1"/>
  <c r="I1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59" i="1"/>
  <c r="H155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6" i="1"/>
  <c r="H157" i="1"/>
  <c r="H158" i="1"/>
  <c r="H59" i="1"/>
  <c r="G56" i="1"/>
  <c r="G55" i="1"/>
  <c r="G6" i="1"/>
  <c r="G5" i="1"/>
</calcChain>
</file>

<file path=xl/sharedStrings.xml><?xml version="1.0" encoding="utf-8"?>
<sst xmlns="http://schemas.openxmlformats.org/spreadsheetml/2006/main" count="155" uniqueCount="118">
  <si>
    <t>Age</t>
  </si>
  <si>
    <t>Salary</t>
  </si>
  <si>
    <t>Purchase_Count</t>
  </si>
  <si>
    <t>Satisfaction_Score</t>
  </si>
  <si>
    <t>Visit_Frequency</t>
  </si>
  <si>
    <t>mean,median,mode of Age.</t>
  </si>
  <si>
    <t>///Mean</t>
  </si>
  <si>
    <t>//Median</t>
  </si>
  <si>
    <t>//removed duplicates here.</t>
  </si>
  <si>
    <t>Variance and Standard Deviation of Salary.</t>
  </si>
  <si>
    <t>//count of salary(x)</t>
  </si>
  <si>
    <t>//average of salary(Xbar)</t>
  </si>
  <si>
    <t>salary(X)</t>
  </si>
  <si>
    <t>X-Xbar</t>
  </si>
  <si>
    <t>(X-Xbar)^2</t>
  </si>
  <si>
    <t>SSD</t>
  </si>
  <si>
    <t>Variance</t>
  </si>
  <si>
    <t>S.D</t>
  </si>
  <si>
    <t>//Both manual way and formula way S.D are same.</t>
  </si>
  <si>
    <t>//skewness of purchase count</t>
  </si>
  <si>
    <t>//kurtosis of purchase count</t>
  </si>
  <si>
    <t>corelation between salary &amp; satisfaction score.</t>
  </si>
  <si>
    <t>//count age</t>
  </si>
  <si>
    <t>//count salary</t>
  </si>
  <si>
    <t>//mean age</t>
  </si>
  <si>
    <t>//mean salary</t>
  </si>
  <si>
    <t>//mean purchase  count</t>
  </si>
  <si>
    <t>//satisfaction sales</t>
  </si>
  <si>
    <t>//mean visit freq.</t>
  </si>
  <si>
    <t>//min age</t>
  </si>
  <si>
    <t>//min salary</t>
  </si>
  <si>
    <t>//min purchase count</t>
  </si>
  <si>
    <t>//min satisfaction score</t>
  </si>
  <si>
    <t>//min visit freq.</t>
  </si>
  <si>
    <t>//max age</t>
  </si>
  <si>
    <t>//max salary</t>
  </si>
  <si>
    <t>//max purchase count</t>
  </si>
  <si>
    <t>//max satisfaction sale</t>
  </si>
  <si>
    <t>//max visit freq.</t>
  </si>
  <si>
    <t>//S.D age</t>
  </si>
  <si>
    <t>//S.D salary</t>
  </si>
  <si>
    <t>//S.D purchase count</t>
  </si>
  <si>
    <t>//S.D  satisfaction sale</t>
  </si>
  <si>
    <t>//S.D visit freq</t>
  </si>
  <si>
    <t>//median age</t>
  </si>
  <si>
    <t>//median salary</t>
  </si>
  <si>
    <t>//median purchase cost</t>
  </si>
  <si>
    <t>//median satisfaction sale</t>
  </si>
  <si>
    <t>//median visit freq</t>
  </si>
  <si>
    <t>//Q1(25%) age</t>
  </si>
  <si>
    <t>//Q3(75%)age</t>
  </si>
  <si>
    <t>//Q2(50%)median age</t>
  </si>
  <si>
    <t>//Q1(25%)salary</t>
  </si>
  <si>
    <t>//Q2(50%) median salary</t>
  </si>
  <si>
    <t>//Q3(75%)salary</t>
  </si>
  <si>
    <t>//Q1(25%)purchase cost</t>
  </si>
  <si>
    <t>//Q2(50%)purchase cost</t>
  </si>
  <si>
    <t>//Q3(75%)purchase cost</t>
  </si>
  <si>
    <t>//Q1(25%)satisfaction sale</t>
  </si>
  <si>
    <t>//Q3(75%)satisfaction sale</t>
  </si>
  <si>
    <t>//Q2(50%)median satis. sale</t>
  </si>
  <si>
    <t>//Q1(25%)visit freq.</t>
  </si>
  <si>
    <t>//Q2(50%)visit freq.</t>
  </si>
  <si>
    <t>//Q3(75%)visit freq.</t>
  </si>
  <si>
    <t>i)Based on histogram it looks like right skewed it means positive skewed</t>
  </si>
  <si>
    <t>OUTLIERS</t>
  </si>
  <si>
    <t>of Satisfaction score</t>
  </si>
  <si>
    <t>//Q1(25%)</t>
  </si>
  <si>
    <t>//Q3(75%)</t>
  </si>
  <si>
    <t>//median(Q2)50%</t>
  </si>
  <si>
    <t>//IQR(Q3-Q1)</t>
  </si>
  <si>
    <t>//Q1-1.5*IQR for lower threshold (any value below this is outlier)</t>
  </si>
  <si>
    <t>//Q3+1.5*IQR for upper threshold value(any value above this is outlier)</t>
  </si>
  <si>
    <t>coefficient for variation of salary</t>
  </si>
  <si>
    <t>coeffi.of variation=standard deviation/mean</t>
  </si>
  <si>
    <t>CV</t>
  </si>
  <si>
    <t>IQR of Purchase count</t>
  </si>
  <si>
    <t>//Q1</t>
  </si>
  <si>
    <t>//Q2(med)</t>
  </si>
  <si>
    <t>//Q3</t>
  </si>
  <si>
    <t>//IQR of purchase count</t>
  </si>
  <si>
    <t>Pearson correlation matrix of entire dataset</t>
  </si>
  <si>
    <t>Range for Age and Salary</t>
  </si>
  <si>
    <t>range sal.</t>
  </si>
  <si>
    <t>range age</t>
  </si>
  <si>
    <t>Covariance between Salary and Visit Freq.</t>
  </si>
  <si>
    <t>//covariance.s(array1,array2)</t>
  </si>
  <si>
    <t>check if salary follows normal distribution</t>
  </si>
  <si>
    <t>using skewness and kurtosis?</t>
  </si>
  <si>
    <t>//sal skew</t>
  </si>
  <si>
    <t>//sal kurtosis</t>
  </si>
  <si>
    <t>//moderately skewed</t>
  </si>
  <si>
    <t>//light tails</t>
  </si>
  <si>
    <r>
      <t xml:space="preserve">If </t>
    </r>
    <r>
      <rPr>
        <b/>
        <sz val="11"/>
        <color theme="1"/>
        <rFont val="Calibri"/>
        <family val="2"/>
        <scheme val="minor"/>
      </rPr>
      <t>Skewness ≈ 0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Kurtosis ≈ 0</t>
    </r>
    <r>
      <rPr>
        <sz val="11"/>
        <color theme="1"/>
        <rFont val="Calibri"/>
        <family val="2"/>
        <scheme val="minor"/>
      </rPr>
      <t xml:space="preserve">, then </t>
    </r>
    <r>
      <rPr>
        <sz val="10"/>
        <color theme="1"/>
        <rFont val="Arial Unicode MS"/>
        <family val="2"/>
      </rPr>
      <t>Salary</t>
    </r>
    <r>
      <rPr>
        <sz val="11"/>
        <color theme="1"/>
        <rFont val="Calibri"/>
        <family val="2"/>
        <scheme val="minor"/>
      </rPr>
      <t xml:space="preserve"> is approximately normally distributed.</t>
    </r>
  </si>
  <si>
    <t>If skewness is large (positive/negative) OR kurtosis far from 0, then it deviates from normality.</t>
  </si>
  <si>
    <t>Salary is moderately deviates normally.</t>
  </si>
  <si>
    <t>How to find Z score for satisfaction score and identify data points beyond +=3.</t>
  </si>
  <si>
    <t>1)Create a pivot table to find the average Salary by each Category (group by Age groups if preferred).</t>
  </si>
  <si>
    <t>Average of Salary</t>
  </si>
  <si>
    <t>Grand Total</t>
  </si>
  <si>
    <t>18-27</t>
  </si>
  <si>
    <t>28-37</t>
  </si>
  <si>
    <t>38-47</t>
  </si>
  <si>
    <t>48-57</t>
  </si>
  <si>
    <t>58-67</t>
  </si>
  <si>
    <t>Row Labels</t>
  </si>
  <si>
    <t>2)Use a pivot table to sum the Purchase_Count for each Satisfaction_Score value.</t>
  </si>
  <si>
    <t>Sum of Purchase_Count</t>
  </si>
  <si>
    <t>3)Build a pivot table to show the count of records per Visit_Frequency value.</t>
  </si>
  <si>
    <t>Count of Visit_Frequency</t>
  </si>
  <si>
    <t>4)Generate a pivot table that shows the minimum, maximum, and average Salary per Age group (e.g., 18-25, 26-35, etc.).</t>
  </si>
  <si>
    <t>Min of Salary</t>
  </si>
  <si>
    <t>Max of Salary</t>
  </si>
  <si>
    <t>5)Create a pivot table to display the total Purchase_Count for each distinct Salary range bucket (e.g., 25k-50k, 50k-75k, etc.).</t>
  </si>
  <si>
    <t>25000-34999</t>
  </si>
  <si>
    <t>35000-44999</t>
  </si>
  <si>
    <t>45000-54999</t>
  </si>
  <si>
    <t>&gt;55000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</si>
</sst>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2" borderId="0" xfId="0" applyFill="1"/>
    <xf numFmtId="2" fontId="0" fillId="2" borderId="0" xfId="0" applyNumberFormat="1" applyFill="1"/>
    <xf numFmtId="0" fontId="0" fillId="0" borderId="0" xfId="0" applyFill="1" applyBorder="1" applyAlignment="1"/>
    <xf numFmtId="0" fontId="0" fillId="0" borderId="9" xfId="0" applyFill="1" applyBorder="1" applyAlignment="1"/>
    <xf numFmtId="0" fontId="2" fillId="0" borderId="11" xfId="0" applyFont="1" applyFill="1" applyBorder="1" applyAlignment="1">
      <alignment horizontal="center"/>
    </xf>
    <xf numFmtId="0" fontId="1" fillId="0" borderId="0" xfId="0" applyFont="1"/>
    <xf numFmtId="2" fontId="0" fillId="0" borderId="0" xfId="0" applyNumberFormat="1"/>
    <xf numFmtId="164" fontId="0" fillId="2" borderId="0" xfId="0" applyNumberFormat="1" applyFill="1"/>
    <xf numFmtId="2" fontId="0" fillId="0" borderId="1" xfId="0" applyNumberFormat="1" applyBorder="1"/>
    <xf numFmtId="0" fontId="0" fillId="3" borderId="0" xfId="0" applyFill="1"/>
    <xf numFmtId="2" fontId="0" fillId="3" borderId="0" xfId="0" applyNumberFormat="1" applyFill="1"/>
    <xf numFmtId="0" fontId="0" fillId="2" borderId="0" xfId="0" applyFill="1" applyBorder="1" applyAlignment="1"/>
    <xf numFmtId="0" fontId="2" fillId="0" borderId="0" xfId="0" applyFont="1" applyFill="1" applyBorder="1" applyAlignment="1">
      <alignment horizontal="center"/>
    </xf>
    <xf numFmtId="0" fontId="0" fillId="3" borderId="0" xfId="0" applyFill="1" applyBorder="1"/>
    <xf numFmtId="0" fontId="0" fillId="4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Visit Frequency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Visit Frequency</a:t>
          </a:r>
        </a:p>
      </cx:txPr>
    </cx:title>
    <cx:plotArea>
      <cx:plotAreaRegion>
        <cx:series layoutId="clusteredColumn" uniqueId="{E90F349D-4B59-4912-96F3-7D9016576BD1}" formatIdx="0"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28576</xdr:colOff>
      <xdr:row>109</xdr:row>
      <xdr:rowOff>128587</xdr:rowOff>
    </xdr:from>
    <xdr:to>
      <xdr:col>16</xdr:col>
      <xdr:colOff>142876</xdr:colOff>
      <xdr:row>120</xdr:row>
      <xdr:rowOff>161924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294E7BB-D938-45FD-9A1F-6E675F2D839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05826" y="20931187"/>
              <a:ext cx="3162300" cy="21288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896.731493287036" createdVersion="7" refreshedVersion="7" minRefreshableVersion="3" recordCount="100" xr:uid="{88E7AA4C-6BB9-44CE-91E9-DF12C82479CC}">
  <cacheSource type="worksheet">
    <worksheetSource ref="A3:E103" sheet="mean_med_s.d"/>
  </cacheSource>
  <cacheFields count="5">
    <cacheField name="Age" numFmtId="0">
      <sharedItems containsSemiMixedTypes="0" containsString="0" containsNumber="1" containsInteger="1" minValue="18" maxValue="64" count="43">
        <n v="18"/>
        <n v="19"/>
        <n v="20"/>
        <n v="21"/>
        <n v="23"/>
        <n v="24"/>
        <n v="25"/>
        <n v="26"/>
        <n v="27"/>
        <n v="28"/>
        <n v="29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50"/>
        <n v="51"/>
        <n v="52"/>
        <n v="53"/>
        <n v="54"/>
        <n v="55"/>
        <n v="56"/>
        <n v="57"/>
        <n v="58"/>
        <n v="59"/>
        <n v="60"/>
        <n v="61"/>
        <n v="62"/>
        <n v="64"/>
      </sharedItems>
      <fieldGroup base="0">
        <rangePr startNum="18" endNum="64" groupInterval="10"/>
        <groupItems count="7">
          <s v="&lt;18"/>
          <s v="18-27"/>
          <s v="28-37"/>
          <s v="38-47"/>
          <s v="48-57"/>
          <s v="58-67"/>
          <s v="&gt;68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autoStart="0" autoEnd="0" startNum="25000" endNum="50000" groupInterval="10000"/>
        <groupItems count="5">
          <s v="&lt;25000"/>
          <s v="25000-34999"/>
          <s v="35000-44999"/>
          <s v="45000-54999"/>
          <s v="&gt;55000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2">
      <sharedItems containsSemiMixedTypes="0" containsString="0" containsNumber="1" minValue="1.0618264661154599" maxValue="4.9602154004170496" count="100">
        <n v="1.9759585735163301"/>
        <n v="4.8920422190097801"/>
        <n v="2.5723908986670398"/>
        <n v="4.5681862207084496"/>
        <n v="3.5245545039890498"/>
        <n v="4.1792452141665901"/>
        <n v="3.01054837242076"/>
        <n v="3.3076155385054302"/>
        <n v="2.9700707752754498"/>
        <n v="1.78097195119217"/>
        <n v="3.88980846104602"/>
        <n v="2.1230894497634201"/>
        <n v="1.09726386572581"/>
        <n v="3.5818891836286699"/>
        <n v="1.70844271762819"/>
        <n v="4.7618343374116501"/>
        <n v="4.8157143080103397"/>
        <n v="4.6594575608817896"/>
        <n v="2.48063480102177"/>
        <n v="1.0618264661154599"/>
        <n v="4.7132742503509002"/>
        <n v="2.7127365932692502"/>
        <n v="4.8666192761746698"/>
        <n v="4.8544799083570096"/>
        <n v="4.4120378218694398"/>
        <n v="2.1777955682783401"/>
        <n v="2.5403909144077002"/>
        <n v="4.4045466860674196"/>
        <n v="2.2676880206251102"/>
        <n v="1.67797098674437"/>
        <n v="3.2272050498334002"/>
        <n v="4.7446190966431203"/>
        <n v="3.7841191866998898"/>
        <n v="3.2802446803574599"/>
        <n v="1.3887059750830699"/>
        <n v="3.4600289067966701"/>
        <n v="4.9602154004170496"/>
        <n v="1.5603360609460899"/>
        <n v="3.0733186094549398"/>
        <n v="4.5094922877118204"/>
        <n v="3.9630744710168102"/>
        <n v="3.7880629639810701"/>
        <n v="3.80993633594843"/>
        <n v="2.4379646048790198"/>
        <n v="2.1743673770579699"/>
        <n v="4.23744462191405"/>
        <n v="4.2404535787167204"/>
        <n v="4.4682892743204103"/>
        <n v="4.6529622102258799"/>
        <n v="3.0453695954437499"/>
        <n v="3.00606517874879"/>
        <n v="4.1931807158670997"/>
        <n v="3.5998557231110602"/>
        <n v="3.8078675090308098"/>
        <n v="4.1831706777443998"/>
        <n v="4.5600213672702603"/>
        <n v="2.3519806274061401"/>
        <n v="2.5023318105597698"/>
        <n v="1.37592775936347"/>
        <n v="3.3131205639846901"/>
        <n v="1.1437690951869599"/>
        <n v="2.8623920725298402"/>
        <n v="3.1705785388302998"/>
        <n v="2.1461650085131301"/>
        <n v="3.3633330422760399"/>
        <n v="1.1220009997561899"/>
        <n v="1.1493927549968499"/>
        <n v="4.2904022426386303"/>
        <n v="2.4407625656450498"/>
        <n v="1.50824205060753"/>
        <n v="3.0889730402192099"/>
        <n v="4.0799742123944398"/>
        <n v="1.86328410998737"/>
        <n v="3.4915619032760001"/>
        <n v="1.34138985997507"/>
        <n v="1.2067268846744299"/>
        <n v="3.1254185262725902"/>
        <n v="3.1625404864404199"/>
        <n v="3.54971960599282"/>
        <n v="3.90436533489064"/>
        <n v="4.90340831785013"/>
        <n v="3.0652013932047799"/>
        <n v="2.2918258917649799"/>
        <n v="4.1807447790748098"/>
        <n v="2.0833290050482902"/>
        <n v="2.75588568282254"/>
        <n v="1.3138255253690601"/>
        <n v="1.10140297366183"/>
        <n v="4.8505936587117002"/>
        <n v="4.3439204820488202"/>
        <n v="3.7838968243747901"/>
        <n v="2.6358117776570702"/>
        <n v="1.69317728028338"/>
        <n v="1.62574817068434"/>
        <n v="2.00097159265838"/>
        <n v="3.1969066588244801"/>
        <n v="3.85838369080024"/>
        <n v="3.6407895068709202"/>
        <n v="2.11973558778377"/>
        <n v="4.8194611226527702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7"/>
    <x v="0"/>
    <x v="0"/>
  </r>
  <r>
    <x v="0"/>
    <x v="1"/>
    <n v="38"/>
    <x v="1"/>
    <x v="1"/>
  </r>
  <r>
    <x v="1"/>
    <x v="2"/>
    <n v="24"/>
    <x v="2"/>
    <x v="2"/>
  </r>
  <r>
    <x v="1"/>
    <x v="3"/>
    <n v="5"/>
    <x v="3"/>
    <x v="3"/>
  </r>
  <r>
    <x v="1"/>
    <x v="4"/>
    <n v="34"/>
    <x v="4"/>
    <x v="4"/>
  </r>
  <r>
    <x v="1"/>
    <x v="5"/>
    <n v="6"/>
    <x v="5"/>
    <x v="5"/>
  </r>
  <r>
    <x v="2"/>
    <x v="6"/>
    <n v="22"/>
    <x v="6"/>
    <x v="1"/>
  </r>
  <r>
    <x v="2"/>
    <x v="7"/>
    <n v="11"/>
    <x v="7"/>
    <x v="6"/>
  </r>
  <r>
    <x v="3"/>
    <x v="8"/>
    <n v="48"/>
    <x v="8"/>
    <x v="1"/>
  </r>
  <r>
    <x v="3"/>
    <x v="9"/>
    <n v="16"/>
    <x v="9"/>
    <x v="7"/>
  </r>
  <r>
    <x v="3"/>
    <x v="10"/>
    <n v="33"/>
    <x v="10"/>
    <x v="8"/>
  </r>
  <r>
    <x v="4"/>
    <x v="11"/>
    <n v="9"/>
    <x v="11"/>
    <x v="6"/>
  </r>
  <r>
    <x v="5"/>
    <x v="12"/>
    <n v="6"/>
    <x v="12"/>
    <x v="1"/>
  </r>
  <r>
    <x v="5"/>
    <x v="13"/>
    <n v="16"/>
    <x v="13"/>
    <x v="3"/>
  </r>
  <r>
    <x v="5"/>
    <x v="14"/>
    <n v="29"/>
    <x v="14"/>
    <x v="4"/>
  </r>
  <r>
    <x v="6"/>
    <x v="15"/>
    <n v="3"/>
    <x v="15"/>
    <x v="4"/>
  </r>
  <r>
    <x v="6"/>
    <x v="16"/>
    <n v="20"/>
    <x v="16"/>
    <x v="0"/>
  </r>
  <r>
    <x v="6"/>
    <x v="17"/>
    <n v="36"/>
    <x v="17"/>
    <x v="9"/>
  </r>
  <r>
    <x v="7"/>
    <x v="18"/>
    <n v="19"/>
    <x v="18"/>
    <x v="10"/>
  </r>
  <r>
    <x v="7"/>
    <x v="19"/>
    <n v="26"/>
    <x v="19"/>
    <x v="1"/>
  </r>
  <r>
    <x v="7"/>
    <x v="20"/>
    <n v="3"/>
    <x v="20"/>
    <x v="11"/>
  </r>
  <r>
    <x v="8"/>
    <x v="21"/>
    <n v="19"/>
    <x v="21"/>
    <x v="1"/>
  </r>
  <r>
    <x v="9"/>
    <x v="22"/>
    <n v="20"/>
    <x v="22"/>
    <x v="9"/>
  </r>
  <r>
    <x v="9"/>
    <x v="23"/>
    <n v="32"/>
    <x v="23"/>
    <x v="12"/>
  </r>
  <r>
    <x v="10"/>
    <x v="24"/>
    <n v="7"/>
    <x v="24"/>
    <x v="11"/>
  </r>
  <r>
    <x v="11"/>
    <x v="25"/>
    <n v="41"/>
    <x v="25"/>
    <x v="5"/>
  </r>
  <r>
    <x v="11"/>
    <x v="26"/>
    <n v="33"/>
    <x v="26"/>
    <x v="10"/>
  </r>
  <r>
    <x v="11"/>
    <x v="27"/>
    <n v="40"/>
    <x v="27"/>
    <x v="1"/>
  </r>
  <r>
    <x v="11"/>
    <x v="28"/>
    <n v="39"/>
    <x v="28"/>
    <x v="13"/>
  </r>
  <r>
    <x v="12"/>
    <x v="29"/>
    <n v="18"/>
    <x v="29"/>
    <x v="9"/>
  </r>
  <r>
    <x v="12"/>
    <x v="30"/>
    <n v="40"/>
    <x v="30"/>
    <x v="4"/>
  </r>
  <r>
    <x v="12"/>
    <x v="31"/>
    <n v="1"/>
    <x v="31"/>
    <x v="4"/>
  </r>
  <r>
    <x v="12"/>
    <x v="32"/>
    <n v="11"/>
    <x v="32"/>
    <x v="12"/>
  </r>
  <r>
    <x v="13"/>
    <x v="33"/>
    <n v="28"/>
    <x v="33"/>
    <x v="8"/>
  </r>
  <r>
    <x v="13"/>
    <x v="34"/>
    <n v="25"/>
    <x v="34"/>
    <x v="3"/>
  </r>
  <r>
    <x v="14"/>
    <x v="35"/>
    <n v="23"/>
    <x v="35"/>
    <x v="14"/>
  </r>
  <r>
    <x v="15"/>
    <x v="36"/>
    <n v="31"/>
    <x v="36"/>
    <x v="2"/>
  </r>
  <r>
    <x v="15"/>
    <x v="37"/>
    <n v="30"/>
    <x v="37"/>
    <x v="10"/>
  </r>
  <r>
    <x v="15"/>
    <x v="38"/>
    <n v="42"/>
    <x v="38"/>
    <x v="10"/>
  </r>
  <r>
    <x v="16"/>
    <x v="39"/>
    <n v="35"/>
    <x v="39"/>
    <x v="5"/>
  </r>
  <r>
    <x v="17"/>
    <x v="40"/>
    <n v="7"/>
    <x v="40"/>
    <x v="15"/>
  </r>
  <r>
    <x v="18"/>
    <x v="41"/>
    <n v="16"/>
    <x v="41"/>
    <x v="1"/>
  </r>
  <r>
    <x v="18"/>
    <x v="42"/>
    <n v="26"/>
    <x v="42"/>
    <x v="3"/>
  </r>
  <r>
    <x v="18"/>
    <x v="43"/>
    <n v="48"/>
    <x v="43"/>
    <x v="2"/>
  </r>
  <r>
    <x v="18"/>
    <x v="44"/>
    <n v="49"/>
    <x v="44"/>
    <x v="10"/>
  </r>
  <r>
    <x v="19"/>
    <x v="45"/>
    <n v="2"/>
    <x v="45"/>
    <x v="10"/>
  </r>
  <r>
    <x v="19"/>
    <x v="46"/>
    <n v="1"/>
    <x v="46"/>
    <x v="16"/>
  </r>
  <r>
    <x v="20"/>
    <x v="47"/>
    <n v="48"/>
    <x v="47"/>
    <x v="11"/>
  </r>
  <r>
    <x v="20"/>
    <x v="48"/>
    <n v="12"/>
    <x v="48"/>
    <x v="15"/>
  </r>
  <r>
    <x v="21"/>
    <x v="49"/>
    <n v="5"/>
    <x v="49"/>
    <x v="3"/>
  </r>
  <r>
    <x v="21"/>
    <x v="50"/>
    <n v="37"/>
    <x v="50"/>
    <x v="13"/>
  </r>
  <r>
    <x v="21"/>
    <x v="51"/>
    <n v="32"/>
    <x v="51"/>
    <x v="3"/>
  </r>
  <r>
    <x v="21"/>
    <x v="52"/>
    <n v="9"/>
    <x v="52"/>
    <x v="6"/>
  </r>
  <r>
    <x v="21"/>
    <x v="53"/>
    <n v="41"/>
    <x v="53"/>
    <x v="12"/>
  </r>
  <r>
    <x v="22"/>
    <x v="54"/>
    <n v="35"/>
    <x v="54"/>
    <x v="5"/>
  </r>
  <r>
    <x v="22"/>
    <x v="55"/>
    <n v="19"/>
    <x v="55"/>
    <x v="14"/>
  </r>
  <r>
    <x v="22"/>
    <x v="56"/>
    <n v="48"/>
    <x v="56"/>
    <x v="2"/>
  </r>
  <r>
    <x v="22"/>
    <x v="57"/>
    <n v="16"/>
    <x v="57"/>
    <x v="8"/>
  </r>
  <r>
    <x v="23"/>
    <x v="58"/>
    <n v="3"/>
    <x v="58"/>
    <x v="16"/>
  </r>
  <r>
    <x v="23"/>
    <x v="59"/>
    <n v="20"/>
    <x v="59"/>
    <x v="11"/>
  </r>
  <r>
    <x v="23"/>
    <x v="60"/>
    <n v="24"/>
    <x v="60"/>
    <x v="12"/>
  </r>
  <r>
    <x v="24"/>
    <x v="61"/>
    <n v="33"/>
    <x v="61"/>
    <x v="5"/>
  </r>
  <r>
    <x v="25"/>
    <x v="62"/>
    <n v="24"/>
    <x v="62"/>
    <x v="17"/>
  </r>
  <r>
    <x v="25"/>
    <x v="63"/>
    <n v="11"/>
    <x v="63"/>
    <x v="0"/>
  </r>
  <r>
    <x v="26"/>
    <x v="64"/>
    <n v="49"/>
    <x v="64"/>
    <x v="9"/>
  </r>
  <r>
    <x v="26"/>
    <x v="65"/>
    <n v="8"/>
    <x v="65"/>
    <x v="14"/>
  </r>
  <r>
    <x v="26"/>
    <x v="66"/>
    <n v="36"/>
    <x v="66"/>
    <x v="13"/>
  </r>
  <r>
    <x v="27"/>
    <x v="67"/>
    <n v="38"/>
    <x v="67"/>
    <x v="15"/>
  </r>
  <r>
    <x v="28"/>
    <x v="68"/>
    <n v="40"/>
    <x v="68"/>
    <x v="9"/>
  </r>
  <r>
    <x v="29"/>
    <x v="69"/>
    <n v="20"/>
    <x v="69"/>
    <x v="9"/>
  </r>
  <r>
    <x v="30"/>
    <x v="70"/>
    <n v="35"/>
    <x v="70"/>
    <x v="11"/>
  </r>
  <r>
    <x v="31"/>
    <x v="71"/>
    <n v="48"/>
    <x v="71"/>
    <x v="1"/>
  </r>
  <r>
    <x v="32"/>
    <x v="72"/>
    <n v="25"/>
    <x v="72"/>
    <x v="17"/>
  </r>
  <r>
    <x v="32"/>
    <x v="73"/>
    <n v="35"/>
    <x v="73"/>
    <x v="2"/>
  </r>
  <r>
    <x v="32"/>
    <x v="74"/>
    <n v="25"/>
    <x v="74"/>
    <x v="8"/>
  </r>
  <r>
    <x v="33"/>
    <x v="75"/>
    <n v="29"/>
    <x v="75"/>
    <x v="2"/>
  </r>
  <r>
    <x v="34"/>
    <x v="76"/>
    <n v="18"/>
    <x v="76"/>
    <x v="4"/>
  </r>
  <r>
    <x v="35"/>
    <x v="77"/>
    <n v="46"/>
    <x v="77"/>
    <x v="9"/>
  </r>
  <r>
    <x v="35"/>
    <x v="78"/>
    <n v="18"/>
    <x v="78"/>
    <x v="14"/>
  </r>
  <r>
    <x v="35"/>
    <x v="79"/>
    <n v="2"/>
    <x v="79"/>
    <x v="8"/>
  </r>
  <r>
    <x v="36"/>
    <x v="80"/>
    <n v="35"/>
    <x v="80"/>
    <x v="0"/>
  </r>
  <r>
    <x v="36"/>
    <x v="81"/>
    <n v="16"/>
    <x v="81"/>
    <x v="1"/>
  </r>
  <r>
    <x v="36"/>
    <x v="82"/>
    <n v="41"/>
    <x v="82"/>
    <x v="3"/>
  </r>
  <r>
    <x v="37"/>
    <x v="83"/>
    <n v="36"/>
    <x v="83"/>
    <x v="8"/>
  </r>
  <r>
    <x v="38"/>
    <x v="84"/>
    <n v="33"/>
    <x v="84"/>
    <x v="13"/>
  </r>
  <r>
    <x v="38"/>
    <x v="85"/>
    <n v="4"/>
    <x v="85"/>
    <x v="2"/>
  </r>
  <r>
    <x v="39"/>
    <x v="86"/>
    <n v="33"/>
    <x v="86"/>
    <x v="17"/>
  </r>
  <r>
    <x v="40"/>
    <x v="87"/>
    <n v="14"/>
    <x v="87"/>
    <x v="8"/>
  </r>
  <r>
    <x v="40"/>
    <x v="88"/>
    <n v="21"/>
    <x v="88"/>
    <x v="8"/>
  </r>
  <r>
    <x v="40"/>
    <x v="89"/>
    <n v="48"/>
    <x v="89"/>
    <x v="4"/>
  </r>
  <r>
    <x v="40"/>
    <x v="90"/>
    <n v="20"/>
    <x v="90"/>
    <x v="13"/>
  </r>
  <r>
    <x v="40"/>
    <x v="91"/>
    <n v="8"/>
    <x v="91"/>
    <x v="5"/>
  </r>
  <r>
    <x v="40"/>
    <x v="92"/>
    <n v="7"/>
    <x v="92"/>
    <x v="8"/>
  </r>
  <r>
    <x v="41"/>
    <x v="93"/>
    <n v="3"/>
    <x v="93"/>
    <x v="9"/>
  </r>
  <r>
    <x v="41"/>
    <x v="94"/>
    <n v="17"/>
    <x v="94"/>
    <x v="3"/>
  </r>
  <r>
    <x v="41"/>
    <x v="95"/>
    <n v="33"/>
    <x v="95"/>
    <x v="17"/>
  </r>
  <r>
    <x v="42"/>
    <x v="96"/>
    <n v="48"/>
    <x v="96"/>
    <x v="5"/>
  </r>
  <r>
    <x v="42"/>
    <x v="97"/>
    <n v="12"/>
    <x v="97"/>
    <x v="3"/>
  </r>
  <r>
    <x v="42"/>
    <x v="98"/>
    <n v="22"/>
    <x v="98"/>
    <x v="17"/>
  </r>
  <r>
    <x v="42"/>
    <x v="99"/>
    <n v="22"/>
    <x v="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7C2789-B3CD-4D58-AD28-647712B87C00}" name="PivotTable6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4:D150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numFmtId="2"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in of Salary" fld="1" subtotal="min" baseField="0" baseItem="1"/>
    <dataField name="Max of Salary" fld="1" subtotal="max" baseField="0" baseItem="1"/>
    <dataField name="Average of Salary" fld="1" subtotal="average" baseField="0" baseItem="1"/>
  </dataFields>
  <formats count="4">
    <format dxfId="3">
      <pivotArea collapsedLevelsAreSubtotals="1" fieldPosition="0">
        <references count="2">
          <reference field="4294967294" count="1" selected="0">
            <x v="2"/>
          </reference>
          <reference field="0" count="1">
            <x v="1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0" count="1">
            <x v="2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0" count="1">
            <x v="3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FAC18E-45A3-48A7-AD35-A07C96E37C1F}" name="PivotTable5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20:B139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numFmtId="2" showAll="0"/>
    <pivotField axis="axisRow" dataField="1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</pivotFields>
  <rowFields count="1">
    <field x="4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Visit_Frequency" fld="4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10D48-1C1B-4BA9-BC04-98D571BD9683}" name="PivotTable3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4:B115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dataField="1" showAll="0"/>
    <pivotField axis="axisRow" numFmtId="2" showAll="0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default"/>
      </items>
    </pivotField>
    <pivotField showAll="0"/>
  </pivotFields>
  <rowFields count="1">
    <field x="3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C909F9-BE31-4457-9509-457AE48553E6}" name="PivotTable2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9" firstHeaderRow="1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>
      <items count="6">
        <item x="0"/>
        <item x="1"/>
        <item x="2"/>
        <item x="3"/>
        <item x="4"/>
        <item t="default"/>
      </items>
    </pivotField>
    <pivotField showAll="0"/>
    <pivotField numFmtId="2" showAll="0"/>
    <pivotField showAll="0"/>
  </pivotFields>
  <rowFields count="1"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Salary" fld="1" subtotal="average" baseField="0" baseItem="677195168"/>
  </dataFields>
  <formats count="4">
    <format dxfId="7">
      <pivotArea collapsedLevelsAreSubtotals="1" fieldPosition="0">
        <references count="1">
          <reference field="0" count="1">
            <x v="1"/>
          </reference>
        </references>
      </pivotArea>
    </format>
    <format dxfId="6">
      <pivotArea collapsedLevelsAreSubtotals="1" fieldPosition="0">
        <references count="1">
          <reference field="0" count="1">
            <x v="2"/>
          </reference>
        </references>
      </pivotArea>
    </format>
    <format dxfId="5">
      <pivotArea collapsedLevelsAreSubtotals="1" fieldPosition="0">
        <references count="1">
          <reference field="0" count="1">
            <x v="3"/>
          </reference>
        </references>
      </pivotArea>
    </format>
    <format dxfId="4">
      <pivotArea collapsedLevelsAreSubtotals="1" fieldPosition="0">
        <references count="1">
          <reference field="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A03221-3B25-43F3-86F4-98DDA23A923C}" name="PivotTable7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6:B161" firstHeaderRow="1" firstDataRow="1" firstDataCol="1"/>
  <pivotFields count="5"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dataField="1" showAll="0"/>
    <pivotField numFmtId="2" showAll="0"/>
    <pivotField showAll="0"/>
  </pivotFields>
  <rowFields count="1">
    <field x="1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A5EA3-D526-4CBD-8FB7-E5716C51000F}">
  <dimension ref="A2:Q182"/>
  <sheetViews>
    <sheetView tabSelected="1" workbookViewId="0">
      <selection activeCell="L8" sqref="L8"/>
    </sheetView>
  </sheetViews>
  <sheetFormatPr defaultRowHeight="15" x14ac:dyDescent="0.25"/>
  <cols>
    <col min="3" max="3" width="12.140625" customWidth="1"/>
    <col min="4" max="4" width="17" customWidth="1"/>
    <col min="5" max="5" width="15" customWidth="1"/>
    <col min="9" max="9" width="19" customWidth="1"/>
  </cols>
  <sheetData>
    <row r="2" spans="1:15" ht="15.75" thickBot="1" x14ac:dyDescent="0.3"/>
    <row r="3" spans="1:15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G3" s="4" t="s">
        <v>5</v>
      </c>
      <c r="H3" s="5"/>
      <c r="I3" s="6"/>
      <c r="N3" s="1" t="s">
        <v>1</v>
      </c>
      <c r="O3" s="1" t="s">
        <v>3</v>
      </c>
    </row>
    <row r="4" spans="1:15" x14ac:dyDescent="0.25">
      <c r="A4" s="1">
        <v>18</v>
      </c>
      <c r="B4" s="1">
        <v>158767</v>
      </c>
      <c r="C4" s="1">
        <v>17</v>
      </c>
      <c r="D4" s="20">
        <v>1.9759585735163301</v>
      </c>
      <c r="E4" s="1">
        <v>7</v>
      </c>
      <c r="G4" s="7"/>
      <c r="H4" s="3"/>
      <c r="I4" s="8"/>
      <c r="N4" s="1">
        <v>158767</v>
      </c>
      <c r="O4" s="20">
        <v>1.9759585735163301</v>
      </c>
    </row>
    <row r="5" spans="1:15" x14ac:dyDescent="0.25">
      <c r="A5" s="1">
        <v>18</v>
      </c>
      <c r="B5" s="1">
        <v>149375</v>
      </c>
      <c r="C5" s="1">
        <v>38</v>
      </c>
      <c r="D5" s="20">
        <v>4.8920422190097801</v>
      </c>
      <c r="E5" s="1">
        <v>5</v>
      </c>
      <c r="G5" s="7">
        <f>AVERAGE(A4:A103)</f>
        <v>40.880000000000003</v>
      </c>
      <c r="H5" s="3" t="s">
        <v>6</v>
      </c>
      <c r="I5" s="8"/>
      <c r="N5" s="1">
        <v>149375</v>
      </c>
      <c r="O5" s="20">
        <v>4.8920422190097801</v>
      </c>
    </row>
    <row r="6" spans="1:15" ht="15.75" thickBot="1" x14ac:dyDescent="0.3">
      <c r="A6" s="1">
        <v>19</v>
      </c>
      <c r="B6" s="1">
        <v>161330</v>
      </c>
      <c r="C6" s="1">
        <v>24</v>
      </c>
      <c r="D6" s="20">
        <v>2.5723908986670398</v>
      </c>
      <c r="E6" s="1">
        <v>3</v>
      </c>
      <c r="G6" s="9">
        <f>MEDIAN(I8:I50)</f>
        <v>41</v>
      </c>
      <c r="H6" s="10" t="s">
        <v>7</v>
      </c>
      <c r="I6" s="11"/>
      <c r="N6" s="1">
        <v>161330</v>
      </c>
      <c r="O6" s="20">
        <v>2.5723908986670398</v>
      </c>
    </row>
    <row r="7" spans="1:15" x14ac:dyDescent="0.25">
      <c r="A7" s="1">
        <v>19</v>
      </c>
      <c r="B7" s="1">
        <v>64504</v>
      </c>
      <c r="C7" s="1">
        <v>5</v>
      </c>
      <c r="D7" s="20">
        <v>4.5681862207084496</v>
      </c>
      <c r="E7" s="1">
        <v>12</v>
      </c>
      <c r="I7" s="2" t="s">
        <v>0</v>
      </c>
      <c r="N7" s="1">
        <v>64504</v>
      </c>
      <c r="O7" s="20">
        <v>4.5681862207084496</v>
      </c>
    </row>
    <row r="8" spans="1:15" x14ac:dyDescent="0.25">
      <c r="A8" s="1">
        <v>19</v>
      </c>
      <c r="B8" s="1">
        <v>38986</v>
      </c>
      <c r="C8" s="1">
        <v>34</v>
      </c>
      <c r="D8" s="20">
        <v>3.5245545039890498</v>
      </c>
      <c r="E8" s="1">
        <v>16</v>
      </c>
      <c r="I8" s="1">
        <v>18</v>
      </c>
      <c r="N8" s="1">
        <v>38986</v>
      </c>
      <c r="O8" s="20">
        <v>3.5245545039890498</v>
      </c>
    </row>
    <row r="9" spans="1:15" x14ac:dyDescent="0.25">
      <c r="A9" s="1">
        <v>19</v>
      </c>
      <c r="B9" s="1">
        <v>86858</v>
      </c>
      <c r="C9" s="1">
        <v>6</v>
      </c>
      <c r="D9" s="20">
        <v>4.1792452141665901</v>
      </c>
      <c r="E9" s="1">
        <v>19</v>
      </c>
      <c r="I9" s="1">
        <v>19</v>
      </c>
      <c r="J9" t="s">
        <v>8</v>
      </c>
      <c r="N9" s="1">
        <v>86858</v>
      </c>
      <c r="O9" s="20">
        <v>4.1792452141665901</v>
      </c>
    </row>
    <row r="10" spans="1:15" x14ac:dyDescent="0.25">
      <c r="A10" s="1">
        <v>20</v>
      </c>
      <c r="B10" s="1">
        <v>154312</v>
      </c>
      <c r="C10" s="1">
        <v>22</v>
      </c>
      <c r="D10" s="20">
        <v>3.01054837242076</v>
      </c>
      <c r="E10" s="1">
        <v>5</v>
      </c>
      <c r="I10" s="1">
        <v>20</v>
      </c>
      <c r="N10" s="1">
        <v>154312</v>
      </c>
      <c r="O10" s="20">
        <v>3.01054837242076</v>
      </c>
    </row>
    <row r="11" spans="1:15" x14ac:dyDescent="0.25">
      <c r="A11" s="1">
        <v>20</v>
      </c>
      <c r="B11" s="1">
        <v>37666</v>
      </c>
      <c r="C11" s="1">
        <v>11</v>
      </c>
      <c r="D11" s="20">
        <v>3.3076155385054302</v>
      </c>
      <c r="E11" s="1">
        <v>14</v>
      </c>
      <c r="I11" s="1">
        <v>21</v>
      </c>
      <c r="N11" s="1">
        <v>37666</v>
      </c>
      <c r="O11" s="20">
        <v>3.3076155385054302</v>
      </c>
    </row>
    <row r="12" spans="1:15" x14ac:dyDescent="0.25">
      <c r="A12" s="1">
        <v>21</v>
      </c>
      <c r="B12" s="1">
        <v>63660</v>
      </c>
      <c r="C12" s="1">
        <v>48</v>
      </c>
      <c r="D12" s="20">
        <v>2.9700707752754498</v>
      </c>
      <c r="E12" s="1">
        <v>5</v>
      </c>
      <c r="I12" s="1">
        <v>23</v>
      </c>
      <c r="N12" s="1">
        <v>63660</v>
      </c>
      <c r="O12" s="20">
        <v>2.9700707752754498</v>
      </c>
    </row>
    <row r="13" spans="1:15" x14ac:dyDescent="0.25">
      <c r="A13" s="1">
        <v>21</v>
      </c>
      <c r="B13" s="1">
        <v>159633</v>
      </c>
      <c r="C13" s="1">
        <v>16</v>
      </c>
      <c r="D13" s="20">
        <v>1.78097195119217</v>
      </c>
      <c r="E13" s="1">
        <v>15</v>
      </c>
      <c r="I13" s="1">
        <v>24</v>
      </c>
      <c r="N13" s="1">
        <v>159633</v>
      </c>
      <c r="O13" s="20">
        <v>1.78097195119217</v>
      </c>
    </row>
    <row r="14" spans="1:15" x14ac:dyDescent="0.25">
      <c r="A14" s="1">
        <v>21</v>
      </c>
      <c r="B14" s="1">
        <v>51854</v>
      </c>
      <c r="C14" s="1">
        <v>33</v>
      </c>
      <c r="D14" s="20">
        <v>3.88980846104602</v>
      </c>
      <c r="E14" s="1">
        <v>17</v>
      </c>
      <c r="I14" s="1">
        <v>25</v>
      </c>
      <c r="N14" s="1">
        <v>51854</v>
      </c>
      <c r="O14" s="20">
        <v>3.88980846104602</v>
      </c>
    </row>
    <row r="15" spans="1:15" x14ac:dyDescent="0.25">
      <c r="A15" s="1">
        <v>23</v>
      </c>
      <c r="B15" s="1">
        <v>89505</v>
      </c>
      <c r="C15" s="1">
        <v>9</v>
      </c>
      <c r="D15" s="20">
        <v>2.1230894497634201</v>
      </c>
      <c r="E15" s="1">
        <v>14</v>
      </c>
      <c r="I15" s="1">
        <v>26</v>
      </c>
      <c r="N15" s="1">
        <v>89505</v>
      </c>
      <c r="O15" s="20">
        <v>2.1230894497634201</v>
      </c>
    </row>
    <row r="16" spans="1:15" x14ac:dyDescent="0.25">
      <c r="A16" s="1">
        <v>24</v>
      </c>
      <c r="B16" s="1">
        <v>129488</v>
      </c>
      <c r="C16" s="1">
        <v>6</v>
      </c>
      <c r="D16" s="20">
        <v>1.09726386572581</v>
      </c>
      <c r="E16" s="1">
        <v>5</v>
      </c>
      <c r="I16" s="1">
        <v>27</v>
      </c>
      <c r="N16" s="1">
        <v>129488</v>
      </c>
      <c r="O16" s="20">
        <v>1.09726386572581</v>
      </c>
    </row>
    <row r="17" spans="1:15" x14ac:dyDescent="0.25">
      <c r="A17" s="1">
        <v>24</v>
      </c>
      <c r="B17" s="1">
        <v>47662</v>
      </c>
      <c r="C17" s="1">
        <v>16</v>
      </c>
      <c r="D17" s="20">
        <v>3.5818891836286699</v>
      </c>
      <c r="E17" s="1">
        <v>12</v>
      </c>
      <c r="I17" s="1">
        <v>28</v>
      </c>
      <c r="N17" s="1">
        <v>47662</v>
      </c>
      <c r="O17" s="20">
        <v>3.5818891836286699</v>
      </c>
    </row>
    <row r="18" spans="1:15" x14ac:dyDescent="0.25">
      <c r="A18" s="1">
        <v>24</v>
      </c>
      <c r="B18" s="1">
        <v>33392</v>
      </c>
      <c r="C18" s="1">
        <v>29</v>
      </c>
      <c r="D18" s="20">
        <v>1.70844271762819</v>
      </c>
      <c r="E18" s="1">
        <v>16</v>
      </c>
      <c r="I18" s="1">
        <v>29</v>
      </c>
      <c r="N18" s="1">
        <v>33392</v>
      </c>
      <c r="O18" s="20">
        <v>1.70844271762819</v>
      </c>
    </row>
    <row r="19" spans="1:15" x14ac:dyDescent="0.25">
      <c r="A19" s="1">
        <v>25</v>
      </c>
      <c r="B19" s="1">
        <v>55535</v>
      </c>
      <c r="C19" s="1">
        <v>3</v>
      </c>
      <c r="D19" s="20">
        <v>4.7618343374116501</v>
      </c>
      <c r="E19" s="1">
        <v>16</v>
      </c>
      <c r="I19" s="1">
        <v>31</v>
      </c>
      <c r="N19" s="1">
        <v>55535</v>
      </c>
      <c r="O19" s="20">
        <v>4.7618343374116501</v>
      </c>
    </row>
    <row r="20" spans="1:15" x14ac:dyDescent="0.25">
      <c r="A20" s="1">
        <v>25</v>
      </c>
      <c r="B20" s="1">
        <v>138569</v>
      </c>
      <c r="C20" s="1">
        <v>20</v>
      </c>
      <c r="D20" s="20">
        <v>4.8157143080103397</v>
      </c>
      <c r="E20" s="1">
        <v>7</v>
      </c>
      <c r="I20" s="1">
        <v>32</v>
      </c>
      <c r="N20" s="1">
        <v>138569</v>
      </c>
      <c r="O20" s="20">
        <v>4.8157143080103397</v>
      </c>
    </row>
    <row r="21" spans="1:15" x14ac:dyDescent="0.25">
      <c r="A21" s="1">
        <v>25</v>
      </c>
      <c r="B21" s="1">
        <v>77256</v>
      </c>
      <c r="C21" s="1">
        <v>36</v>
      </c>
      <c r="D21" s="20">
        <v>4.6594575608817896</v>
      </c>
      <c r="E21" s="1">
        <v>4</v>
      </c>
      <c r="I21" s="1">
        <v>33</v>
      </c>
      <c r="N21" s="1">
        <v>77256</v>
      </c>
      <c r="O21" s="20">
        <v>4.6594575608817896</v>
      </c>
    </row>
    <row r="22" spans="1:15" x14ac:dyDescent="0.25">
      <c r="A22" s="1">
        <v>26</v>
      </c>
      <c r="B22" s="1">
        <v>114135</v>
      </c>
      <c r="C22" s="1">
        <v>19</v>
      </c>
      <c r="D22" s="20">
        <v>2.48063480102177</v>
      </c>
      <c r="E22" s="1">
        <v>1</v>
      </c>
      <c r="I22" s="1">
        <v>34</v>
      </c>
      <c r="N22" s="1">
        <v>114135</v>
      </c>
      <c r="O22" s="20">
        <v>2.48063480102177</v>
      </c>
    </row>
    <row r="23" spans="1:15" x14ac:dyDescent="0.25">
      <c r="A23" s="1">
        <v>26</v>
      </c>
      <c r="B23" s="1">
        <v>152478</v>
      </c>
      <c r="C23" s="1">
        <v>26</v>
      </c>
      <c r="D23" s="20">
        <v>1.0618264661154599</v>
      </c>
      <c r="E23" s="1">
        <v>5</v>
      </c>
      <c r="I23" s="1">
        <v>35</v>
      </c>
      <c r="N23" s="1">
        <v>152478</v>
      </c>
      <c r="O23" s="20">
        <v>1.0618264661154599</v>
      </c>
    </row>
    <row r="24" spans="1:15" x14ac:dyDescent="0.25">
      <c r="A24" s="1">
        <v>26</v>
      </c>
      <c r="B24" s="1">
        <v>60222</v>
      </c>
      <c r="C24" s="1">
        <v>3</v>
      </c>
      <c r="D24" s="20">
        <v>4.7132742503509002</v>
      </c>
      <c r="E24" s="1">
        <v>10</v>
      </c>
      <c r="I24" s="1">
        <v>36</v>
      </c>
      <c r="N24" s="1">
        <v>60222</v>
      </c>
      <c r="O24" s="20">
        <v>4.7132742503509002</v>
      </c>
    </row>
    <row r="25" spans="1:15" x14ac:dyDescent="0.25">
      <c r="A25" s="1">
        <v>27</v>
      </c>
      <c r="B25" s="1">
        <v>102373</v>
      </c>
      <c r="C25" s="1">
        <v>19</v>
      </c>
      <c r="D25" s="20">
        <v>2.7127365932692502</v>
      </c>
      <c r="E25" s="1">
        <v>5</v>
      </c>
      <c r="I25" s="1">
        <v>37</v>
      </c>
      <c r="N25" s="1">
        <v>102373</v>
      </c>
      <c r="O25" s="20">
        <v>2.7127365932692502</v>
      </c>
    </row>
    <row r="26" spans="1:15" x14ac:dyDescent="0.25">
      <c r="A26" s="1">
        <v>28</v>
      </c>
      <c r="B26" s="1">
        <v>148684</v>
      </c>
      <c r="C26" s="1">
        <v>20</v>
      </c>
      <c r="D26" s="20">
        <v>4.8666192761746698</v>
      </c>
      <c r="E26" s="1">
        <v>4</v>
      </c>
      <c r="I26" s="1">
        <v>38</v>
      </c>
      <c r="N26" s="1">
        <v>148684</v>
      </c>
      <c r="O26" s="20">
        <v>4.8666192761746698</v>
      </c>
    </row>
    <row r="27" spans="1:15" x14ac:dyDescent="0.25">
      <c r="A27" s="1">
        <v>28</v>
      </c>
      <c r="B27" s="1">
        <v>35965</v>
      </c>
      <c r="C27" s="1">
        <v>32</v>
      </c>
      <c r="D27" s="20">
        <v>4.8544799083570096</v>
      </c>
      <c r="E27" s="1">
        <v>2</v>
      </c>
      <c r="I27" s="1">
        <v>39</v>
      </c>
      <c r="N27" s="1">
        <v>35965</v>
      </c>
      <c r="O27" s="20">
        <v>4.8544799083570096</v>
      </c>
    </row>
    <row r="28" spans="1:15" x14ac:dyDescent="0.25">
      <c r="A28" s="1">
        <v>29</v>
      </c>
      <c r="B28" s="1">
        <v>49538</v>
      </c>
      <c r="C28" s="1">
        <v>7</v>
      </c>
      <c r="D28" s="20">
        <v>4.4120378218694398</v>
      </c>
      <c r="E28" s="1">
        <v>10</v>
      </c>
      <c r="I28" s="1">
        <v>40</v>
      </c>
      <c r="N28" s="1">
        <v>49538</v>
      </c>
      <c r="O28" s="20">
        <v>4.4120378218694398</v>
      </c>
    </row>
    <row r="29" spans="1:15" x14ac:dyDescent="0.25">
      <c r="A29" s="1">
        <v>31</v>
      </c>
      <c r="B29" s="1">
        <v>133066</v>
      </c>
      <c r="C29" s="1">
        <v>41</v>
      </c>
      <c r="D29" s="20">
        <v>2.1777955682783401</v>
      </c>
      <c r="E29" s="1">
        <v>19</v>
      </c>
      <c r="I29" s="1">
        <v>41</v>
      </c>
      <c r="N29" s="1">
        <v>133066</v>
      </c>
      <c r="O29" s="20">
        <v>2.1777955682783401</v>
      </c>
    </row>
    <row r="30" spans="1:15" x14ac:dyDescent="0.25">
      <c r="A30" s="1">
        <v>31</v>
      </c>
      <c r="B30" s="1">
        <v>138252</v>
      </c>
      <c r="C30" s="1">
        <v>33</v>
      </c>
      <c r="D30" s="20">
        <v>2.5403909144077002</v>
      </c>
      <c r="E30" s="1">
        <v>1</v>
      </c>
      <c r="I30" s="1">
        <v>42</v>
      </c>
      <c r="N30" s="1">
        <v>138252</v>
      </c>
      <c r="O30" s="20">
        <v>2.5403909144077002</v>
      </c>
    </row>
    <row r="31" spans="1:15" x14ac:dyDescent="0.25">
      <c r="A31" s="1">
        <v>31</v>
      </c>
      <c r="B31" s="1">
        <v>164182</v>
      </c>
      <c r="C31" s="1">
        <v>40</v>
      </c>
      <c r="D31" s="20">
        <v>4.4045466860674196</v>
      </c>
      <c r="E31" s="1">
        <v>5</v>
      </c>
      <c r="I31" s="1">
        <v>43</v>
      </c>
      <c r="N31" s="1">
        <v>164182</v>
      </c>
      <c r="O31" s="20">
        <v>4.4045466860674196</v>
      </c>
    </row>
    <row r="32" spans="1:15" x14ac:dyDescent="0.25">
      <c r="A32" s="1">
        <v>31</v>
      </c>
      <c r="B32" s="1">
        <v>123806</v>
      </c>
      <c r="C32" s="1">
        <v>39</v>
      </c>
      <c r="D32" s="20">
        <v>2.2676880206251102</v>
      </c>
      <c r="E32" s="1">
        <v>13</v>
      </c>
      <c r="I32" s="1">
        <v>44</v>
      </c>
      <c r="N32" s="1">
        <v>123806</v>
      </c>
      <c r="O32" s="20">
        <v>2.2676880206251102</v>
      </c>
    </row>
    <row r="33" spans="1:15" x14ac:dyDescent="0.25">
      <c r="A33" s="1">
        <v>32</v>
      </c>
      <c r="B33" s="1">
        <v>162982</v>
      </c>
      <c r="C33" s="1">
        <v>18</v>
      </c>
      <c r="D33" s="20">
        <v>1.67797098674437</v>
      </c>
      <c r="E33" s="1">
        <v>4</v>
      </c>
      <c r="I33" s="1">
        <v>45</v>
      </c>
      <c r="N33" s="1">
        <v>162982</v>
      </c>
      <c r="O33" s="20">
        <v>1.67797098674437</v>
      </c>
    </row>
    <row r="34" spans="1:15" x14ac:dyDescent="0.25">
      <c r="A34" s="1">
        <v>32</v>
      </c>
      <c r="B34" s="1">
        <v>135989</v>
      </c>
      <c r="C34" s="1">
        <v>40</v>
      </c>
      <c r="D34" s="20">
        <v>3.2272050498334002</v>
      </c>
      <c r="E34" s="1">
        <v>16</v>
      </c>
      <c r="I34" s="1">
        <v>46</v>
      </c>
      <c r="N34" s="1">
        <v>135989</v>
      </c>
      <c r="O34" s="20">
        <v>3.2272050498334002</v>
      </c>
    </row>
    <row r="35" spans="1:15" x14ac:dyDescent="0.25">
      <c r="A35" s="1">
        <v>32</v>
      </c>
      <c r="B35" s="1">
        <v>115982</v>
      </c>
      <c r="C35" s="1">
        <v>1</v>
      </c>
      <c r="D35" s="20">
        <v>4.7446190966431203</v>
      </c>
      <c r="E35" s="1">
        <v>16</v>
      </c>
      <c r="I35" s="1">
        <v>47</v>
      </c>
      <c r="N35" s="1">
        <v>115982</v>
      </c>
      <c r="O35" s="20">
        <v>4.7446190966431203</v>
      </c>
    </row>
    <row r="36" spans="1:15" x14ac:dyDescent="0.25">
      <c r="A36" s="1">
        <v>32</v>
      </c>
      <c r="B36" s="1">
        <v>146626</v>
      </c>
      <c r="C36" s="1">
        <v>11</v>
      </c>
      <c r="D36" s="20">
        <v>3.7841191866998898</v>
      </c>
      <c r="E36" s="1">
        <v>2</v>
      </c>
      <c r="I36" s="1">
        <v>48</v>
      </c>
      <c r="N36" s="1">
        <v>146626</v>
      </c>
      <c r="O36" s="20">
        <v>3.7841191866998898</v>
      </c>
    </row>
    <row r="37" spans="1:15" x14ac:dyDescent="0.25">
      <c r="A37" s="1">
        <v>33</v>
      </c>
      <c r="B37" s="1">
        <v>144176</v>
      </c>
      <c r="C37" s="1">
        <v>28</v>
      </c>
      <c r="D37" s="20">
        <v>3.2802446803574599</v>
      </c>
      <c r="E37" s="1">
        <v>17</v>
      </c>
      <c r="I37" s="1">
        <v>50</v>
      </c>
      <c r="N37" s="1">
        <v>144176</v>
      </c>
      <c r="O37" s="20">
        <v>3.2802446803574599</v>
      </c>
    </row>
    <row r="38" spans="1:15" x14ac:dyDescent="0.25">
      <c r="A38" s="1">
        <v>33</v>
      </c>
      <c r="B38" s="1">
        <v>156278</v>
      </c>
      <c r="C38" s="1">
        <v>25</v>
      </c>
      <c r="D38" s="20">
        <v>1.3887059750830699</v>
      </c>
      <c r="E38" s="1">
        <v>12</v>
      </c>
      <c r="I38" s="1">
        <v>51</v>
      </c>
      <c r="N38" s="1">
        <v>156278</v>
      </c>
      <c r="O38" s="20">
        <v>1.3887059750830699</v>
      </c>
    </row>
    <row r="39" spans="1:15" x14ac:dyDescent="0.25">
      <c r="A39" s="1">
        <v>34</v>
      </c>
      <c r="B39" s="1">
        <v>147409</v>
      </c>
      <c r="C39" s="1">
        <v>23</v>
      </c>
      <c r="D39" s="20">
        <v>3.4600289067966701</v>
      </c>
      <c r="E39" s="1">
        <v>18</v>
      </c>
      <c r="I39" s="1">
        <v>52</v>
      </c>
      <c r="N39" s="1">
        <v>147409</v>
      </c>
      <c r="O39" s="20">
        <v>3.4600289067966701</v>
      </c>
    </row>
    <row r="40" spans="1:15" x14ac:dyDescent="0.25">
      <c r="A40" s="1">
        <v>35</v>
      </c>
      <c r="B40" s="1">
        <v>48419</v>
      </c>
      <c r="C40" s="1">
        <v>31</v>
      </c>
      <c r="D40" s="20">
        <v>4.9602154004170496</v>
      </c>
      <c r="E40" s="1">
        <v>3</v>
      </c>
      <c r="I40" s="1">
        <v>53</v>
      </c>
      <c r="N40" s="1">
        <v>48419</v>
      </c>
      <c r="O40" s="20">
        <v>4.9602154004170496</v>
      </c>
    </row>
    <row r="41" spans="1:15" x14ac:dyDescent="0.25">
      <c r="A41" s="1">
        <v>35</v>
      </c>
      <c r="B41" s="1">
        <v>75015</v>
      </c>
      <c r="C41" s="1">
        <v>30</v>
      </c>
      <c r="D41" s="20">
        <v>1.5603360609460899</v>
      </c>
      <c r="E41" s="1">
        <v>1</v>
      </c>
      <c r="I41" s="1">
        <v>54</v>
      </c>
      <c r="N41" s="1">
        <v>75015</v>
      </c>
      <c r="O41" s="20">
        <v>1.5603360609460899</v>
      </c>
    </row>
    <row r="42" spans="1:15" x14ac:dyDescent="0.25">
      <c r="A42" s="1">
        <v>35</v>
      </c>
      <c r="B42" s="1">
        <v>147096</v>
      </c>
      <c r="C42" s="1">
        <v>42</v>
      </c>
      <c r="D42" s="20">
        <v>3.0733186094549398</v>
      </c>
      <c r="E42" s="1">
        <v>1</v>
      </c>
      <c r="I42" s="1">
        <v>55</v>
      </c>
      <c r="N42" s="1">
        <v>147096</v>
      </c>
      <c r="O42" s="20">
        <v>3.0733186094549398</v>
      </c>
    </row>
    <row r="43" spans="1:15" x14ac:dyDescent="0.25">
      <c r="A43" s="1">
        <v>36</v>
      </c>
      <c r="B43" s="1">
        <v>132059</v>
      </c>
      <c r="C43" s="1">
        <v>35</v>
      </c>
      <c r="D43" s="20">
        <v>4.5094922877118204</v>
      </c>
      <c r="E43" s="1">
        <v>19</v>
      </c>
      <c r="I43" s="1">
        <v>56</v>
      </c>
      <c r="N43" s="1">
        <v>132059</v>
      </c>
      <c r="O43" s="20">
        <v>4.5094922877118204</v>
      </c>
    </row>
    <row r="44" spans="1:15" x14ac:dyDescent="0.25">
      <c r="A44" s="1">
        <v>37</v>
      </c>
      <c r="B44" s="1">
        <v>135687</v>
      </c>
      <c r="C44" s="1">
        <v>7</v>
      </c>
      <c r="D44" s="20">
        <v>3.9630744710168102</v>
      </c>
      <c r="E44" s="1">
        <v>11</v>
      </c>
      <c r="I44" s="1">
        <v>57</v>
      </c>
      <c r="N44" s="1">
        <v>135687</v>
      </c>
      <c r="O44" s="20">
        <v>3.9630744710168102</v>
      </c>
    </row>
    <row r="45" spans="1:15" x14ac:dyDescent="0.25">
      <c r="A45" s="1">
        <v>38</v>
      </c>
      <c r="B45" s="1">
        <v>112939</v>
      </c>
      <c r="C45" s="1">
        <v>16</v>
      </c>
      <c r="D45" s="20">
        <v>3.7880629639810701</v>
      </c>
      <c r="E45" s="1">
        <v>5</v>
      </c>
      <c r="I45" s="1">
        <v>58</v>
      </c>
      <c r="N45" s="1">
        <v>112939</v>
      </c>
      <c r="O45" s="20">
        <v>3.7880629639810701</v>
      </c>
    </row>
    <row r="46" spans="1:15" x14ac:dyDescent="0.25">
      <c r="A46" s="1">
        <v>38</v>
      </c>
      <c r="B46" s="1">
        <v>174213</v>
      </c>
      <c r="C46" s="1">
        <v>26</v>
      </c>
      <c r="D46" s="20">
        <v>3.80993633594843</v>
      </c>
      <c r="E46" s="1">
        <v>12</v>
      </c>
      <c r="I46" s="1">
        <v>59</v>
      </c>
      <c r="N46" s="1">
        <v>174213</v>
      </c>
      <c r="O46" s="20">
        <v>3.80993633594843</v>
      </c>
    </row>
    <row r="47" spans="1:15" x14ac:dyDescent="0.25">
      <c r="A47" s="1">
        <v>38</v>
      </c>
      <c r="B47" s="1">
        <v>130878</v>
      </c>
      <c r="C47" s="1">
        <v>48</v>
      </c>
      <c r="D47" s="20">
        <v>2.4379646048790198</v>
      </c>
      <c r="E47" s="1">
        <v>3</v>
      </c>
      <c r="I47" s="1">
        <v>60</v>
      </c>
      <c r="N47" s="1">
        <v>130878</v>
      </c>
      <c r="O47" s="20">
        <v>2.4379646048790198</v>
      </c>
    </row>
    <row r="48" spans="1:15" x14ac:dyDescent="0.25">
      <c r="A48" s="1">
        <v>38</v>
      </c>
      <c r="B48" s="1">
        <v>87623</v>
      </c>
      <c r="C48" s="1">
        <v>49</v>
      </c>
      <c r="D48" s="20">
        <v>2.1743673770579699</v>
      </c>
      <c r="E48" s="1">
        <v>1</v>
      </c>
      <c r="I48" s="1">
        <v>61</v>
      </c>
      <c r="N48" s="1">
        <v>87623</v>
      </c>
      <c r="O48" s="20">
        <v>2.1743673770579699</v>
      </c>
    </row>
    <row r="49" spans="1:15" x14ac:dyDescent="0.25">
      <c r="A49" s="1">
        <v>39</v>
      </c>
      <c r="B49" s="1">
        <v>100450</v>
      </c>
      <c r="C49" s="1">
        <v>2</v>
      </c>
      <c r="D49" s="20">
        <v>4.23744462191405</v>
      </c>
      <c r="E49" s="1">
        <v>1</v>
      </c>
      <c r="I49" s="1">
        <v>62</v>
      </c>
      <c r="N49" s="1">
        <v>100450</v>
      </c>
      <c r="O49" s="20">
        <v>4.23744462191405</v>
      </c>
    </row>
    <row r="50" spans="1:15" x14ac:dyDescent="0.25">
      <c r="A50" s="1">
        <v>39</v>
      </c>
      <c r="B50" s="1">
        <v>118426</v>
      </c>
      <c r="C50" s="1">
        <v>1</v>
      </c>
      <c r="D50" s="20">
        <v>4.2404535787167204</v>
      </c>
      <c r="E50" s="1">
        <v>8</v>
      </c>
      <c r="I50" s="1">
        <v>64</v>
      </c>
      <c r="N50" s="1">
        <v>118426</v>
      </c>
      <c r="O50" s="20">
        <v>4.2404535787167204</v>
      </c>
    </row>
    <row r="51" spans="1:15" x14ac:dyDescent="0.25">
      <c r="A51" s="1">
        <v>40</v>
      </c>
      <c r="B51" s="1">
        <v>142845</v>
      </c>
      <c r="C51" s="1">
        <v>48</v>
      </c>
      <c r="D51" s="20">
        <v>4.4682892743204103</v>
      </c>
      <c r="E51" s="1">
        <v>10</v>
      </c>
      <c r="N51" s="1">
        <v>142845</v>
      </c>
      <c r="O51" s="20">
        <v>4.4682892743204103</v>
      </c>
    </row>
    <row r="52" spans="1:15" x14ac:dyDescent="0.25">
      <c r="A52" s="1">
        <v>40</v>
      </c>
      <c r="B52" s="1">
        <v>178371</v>
      </c>
      <c r="C52" s="1">
        <v>12</v>
      </c>
      <c r="D52" s="20">
        <v>4.6529622102258799</v>
      </c>
      <c r="E52" s="1">
        <v>11</v>
      </c>
      <c r="N52" s="1">
        <v>178371</v>
      </c>
      <c r="O52" s="20">
        <v>4.6529622102258799</v>
      </c>
    </row>
    <row r="53" spans="1:15" x14ac:dyDescent="0.25">
      <c r="A53" s="1">
        <v>41</v>
      </c>
      <c r="B53" s="1">
        <v>68585</v>
      </c>
      <c r="C53" s="1">
        <v>5</v>
      </c>
      <c r="D53" s="20">
        <v>3.0453695954437499</v>
      </c>
      <c r="E53" s="1">
        <v>12</v>
      </c>
      <c r="G53" t="s">
        <v>9</v>
      </c>
      <c r="N53" s="1">
        <v>68585</v>
      </c>
      <c r="O53" s="20">
        <v>3.0453695954437499</v>
      </c>
    </row>
    <row r="54" spans="1:15" x14ac:dyDescent="0.25">
      <c r="A54" s="1">
        <v>41</v>
      </c>
      <c r="B54" s="1">
        <v>134225</v>
      </c>
      <c r="C54" s="1">
        <v>37</v>
      </c>
      <c r="D54" s="20">
        <v>3.00606517874879</v>
      </c>
      <c r="E54" s="1">
        <v>13</v>
      </c>
      <c r="N54" s="1">
        <v>134225</v>
      </c>
      <c r="O54" s="20">
        <v>3.00606517874879</v>
      </c>
    </row>
    <row r="55" spans="1:15" x14ac:dyDescent="0.25">
      <c r="A55" s="1">
        <v>41</v>
      </c>
      <c r="B55" s="1">
        <v>89044</v>
      </c>
      <c r="C55" s="1">
        <v>32</v>
      </c>
      <c r="D55" s="20">
        <v>4.1931807158670997</v>
      </c>
      <c r="E55" s="1">
        <v>12</v>
      </c>
      <c r="G55">
        <f>COUNT(B4:B103)</f>
        <v>100</v>
      </c>
      <c r="H55" t="s">
        <v>10</v>
      </c>
      <c r="N55" s="1">
        <v>89044</v>
      </c>
      <c r="O55" s="20">
        <v>4.1931807158670997</v>
      </c>
    </row>
    <row r="56" spans="1:15" x14ac:dyDescent="0.25">
      <c r="A56" s="1">
        <v>41</v>
      </c>
      <c r="B56" s="1">
        <v>134556</v>
      </c>
      <c r="C56" s="1">
        <v>9</v>
      </c>
      <c r="D56" s="20">
        <v>3.5998557231110602</v>
      </c>
      <c r="E56" s="1">
        <v>14</v>
      </c>
      <c r="G56">
        <f>AVERAGE(B4:B103)</f>
        <v>109321.51</v>
      </c>
      <c r="H56" t="s">
        <v>11</v>
      </c>
      <c r="N56" s="1">
        <v>134556</v>
      </c>
      <c r="O56" s="20">
        <v>3.5998557231110602</v>
      </c>
    </row>
    <row r="57" spans="1:15" x14ac:dyDescent="0.25">
      <c r="A57" s="1">
        <v>41</v>
      </c>
      <c r="B57" s="1">
        <v>27693</v>
      </c>
      <c r="C57" s="1">
        <v>41</v>
      </c>
      <c r="D57" s="20">
        <v>3.8078675090308098</v>
      </c>
      <c r="E57" s="1">
        <v>2</v>
      </c>
      <c r="N57" s="1">
        <v>27693</v>
      </c>
      <c r="O57" s="20">
        <v>3.8078675090308098</v>
      </c>
    </row>
    <row r="58" spans="1:15" x14ac:dyDescent="0.25">
      <c r="A58" s="1">
        <v>42</v>
      </c>
      <c r="B58" s="1">
        <v>120259</v>
      </c>
      <c r="C58" s="1">
        <v>35</v>
      </c>
      <c r="D58" s="20">
        <v>4.1831706777443998</v>
      </c>
      <c r="E58" s="1">
        <v>19</v>
      </c>
      <c r="G58" t="s">
        <v>12</v>
      </c>
      <c r="H58" t="s">
        <v>13</v>
      </c>
      <c r="I58" t="s">
        <v>14</v>
      </c>
      <c r="N58" s="1">
        <v>120259</v>
      </c>
      <c r="O58" s="20">
        <v>4.1831706777443998</v>
      </c>
    </row>
    <row r="59" spans="1:15" x14ac:dyDescent="0.25">
      <c r="A59" s="1">
        <v>42</v>
      </c>
      <c r="B59" s="1">
        <v>50939</v>
      </c>
      <c r="C59" s="1">
        <v>19</v>
      </c>
      <c r="D59" s="20">
        <v>4.5600213672702603</v>
      </c>
      <c r="E59" s="1">
        <v>18</v>
      </c>
      <c r="G59" s="1">
        <v>158767</v>
      </c>
      <c r="H59">
        <f>G59-$G$56</f>
        <v>49445.490000000005</v>
      </c>
      <c r="I59">
        <f>(H59)^2</f>
        <v>2444856481.3401003</v>
      </c>
      <c r="N59" s="1">
        <v>50939</v>
      </c>
      <c r="O59" s="20">
        <v>4.5600213672702603</v>
      </c>
    </row>
    <row r="60" spans="1:15" x14ac:dyDescent="0.25">
      <c r="A60" s="1">
        <v>42</v>
      </c>
      <c r="B60" s="1">
        <v>177906</v>
      </c>
      <c r="C60" s="1">
        <v>48</v>
      </c>
      <c r="D60" s="20">
        <v>2.3519806274061401</v>
      </c>
      <c r="E60" s="1">
        <v>3</v>
      </c>
      <c r="G60" s="1">
        <v>149375</v>
      </c>
      <c r="H60">
        <f t="shared" ref="H60:H123" si="0">G60-$G$56</f>
        <v>40053.490000000005</v>
      </c>
      <c r="I60">
        <f t="shared" ref="I60:I123" si="1">(H60)^2</f>
        <v>1604282061.1801004</v>
      </c>
      <c r="N60" s="1">
        <v>177906</v>
      </c>
      <c r="O60" s="20">
        <v>2.3519806274061401</v>
      </c>
    </row>
    <row r="61" spans="1:15" x14ac:dyDescent="0.25">
      <c r="A61" s="1">
        <v>42</v>
      </c>
      <c r="B61" s="1">
        <v>43047</v>
      </c>
      <c r="C61" s="1">
        <v>16</v>
      </c>
      <c r="D61" s="20">
        <v>2.5023318105597698</v>
      </c>
      <c r="E61" s="1">
        <v>17</v>
      </c>
      <c r="G61" s="1">
        <v>161330</v>
      </c>
      <c r="H61">
        <f t="shared" si="0"/>
        <v>52008.490000000005</v>
      </c>
      <c r="I61">
        <f t="shared" si="1"/>
        <v>2704883032.0801005</v>
      </c>
      <c r="N61" s="1">
        <v>43047</v>
      </c>
      <c r="O61" s="20">
        <v>2.5023318105597698</v>
      </c>
    </row>
    <row r="62" spans="1:15" x14ac:dyDescent="0.25">
      <c r="A62" s="1">
        <v>43</v>
      </c>
      <c r="B62" s="1">
        <v>51105</v>
      </c>
      <c r="C62" s="1">
        <v>3</v>
      </c>
      <c r="D62" s="20">
        <v>1.37592775936347</v>
      </c>
      <c r="E62" s="1">
        <v>8</v>
      </c>
      <c r="G62" s="1">
        <v>64504</v>
      </c>
      <c r="H62">
        <f t="shared" si="0"/>
        <v>-44817.509999999995</v>
      </c>
      <c r="I62">
        <f t="shared" si="1"/>
        <v>2008609202.6000996</v>
      </c>
      <c r="N62" s="1">
        <v>51105</v>
      </c>
      <c r="O62" s="20">
        <v>1.37592775936347</v>
      </c>
    </row>
    <row r="63" spans="1:15" x14ac:dyDescent="0.25">
      <c r="A63" s="1">
        <v>43</v>
      </c>
      <c r="B63" s="1">
        <v>100766</v>
      </c>
      <c r="C63" s="1">
        <v>20</v>
      </c>
      <c r="D63" s="20">
        <v>3.3131205639846901</v>
      </c>
      <c r="E63" s="1">
        <v>10</v>
      </c>
      <c r="G63" s="1">
        <v>38986</v>
      </c>
      <c r="H63">
        <f t="shared" si="0"/>
        <v>-70335.509999999995</v>
      </c>
      <c r="I63">
        <f t="shared" si="1"/>
        <v>4947083966.9600992</v>
      </c>
      <c r="N63" s="1">
        <v>100766</v>
      </c>
      <c r="O63" s="20">
        <v>3.3131205639846901</v>
      </c>
    </row>
    <row r="64" spans="1:15" x14ac:dyDescent="0.25">
      <c r="A64" s="1">
        <v>43</v>
      </c>
      <c r="B64" s="1">
        <v>171779</v>
      </c>
      <c r="C64" s="1">
        <v>24</v>
      </c>
      <c r="D64" s="20">
        <v>1.1437690951869599</v>
      </c>
      <c r="E64" s="1">
        <v>2</v>
      </c>
      <c r="G64" s="1">
        <v>86858</v>
      </c>
      <c r="H64">
        <f t="shared" si="0"/>
        <v>-22463.509999999995</v>
      </c>
      <c r="I64">
        <f t="shared" si="1"/>
        <v>504609281.52009976</v>
      </c>
      <c r="N64" s="1">
        <v>171779</v>
      </c>
      <c r="O64" s="20">
        <v>1.1437690951869599</v>
      </c>
    </row>
    <row r="65" spans="1:15" x14ac:dyDescent="0.25">
      <c r="A65" s="1">
        <v>44</v>
      </c>
      <c r="B65" s="1">
        <v>178048</v>
      </c>
      <c r="C65" s="1">
        <v>33</v>
      </c>
      <c r="D65" s="20">
        <v>2.8623920725298402</v>
      </c>
      <c r="E65" s="1">
        <v>19</v>
      </c>
      <c r="G65" s="1">
        <v>154312</v>
      </c>
      <c r="H65">
        <f t="shared" si="0"/>
        <v>44990.490000000005</v>
      </c>
      <c r="I65">
        <f t="shared" si="1"/>
        <v>2024144190.4401004</v>
      </c>
      <c r="N65" s="1">
        <v>178048</v>
      </c>
      <c r="O65" s="20">
        <v>2.8623920725298402</v>
      </c>
    </row>
    <row r="66" spans="1:15" x14ac:dyDescent="0.25">
      <c r="A66" s="1">
        <v>45</v>
      </c>
      <c r="B66" s="1">
        <v>69262</v>
      </c>
      <c r="C66" s="1">
        <v>24</v>
      </c>
      <c r="D66" s="20">
        <v>3.1705785388302998</v>
      </c>
      <c r="E66" s="1">
        <v>9</v>
      </c>
      <c r="G66" s="1">
        <v>37666</v>
      </c>
      <c r="H66">
        <f t="shared" si="0"/>
        <v>-71655.509999999995</v>
      </c>
      <c r="I66">
        <f t="shared" si="1"/>
        <v>5134512113.3600988</v>
      </c>
      <c r="N66" s="1">
        <v>69262</v>
      </c>
      <c r="O66" s="20">
        <v>3.1705785388302998</v>
      </c>
    </row>
    <row r="67" spans="1:15" x14ac:dyDescent="0.25">
      <c r="A67" s="1">
        <v>45</v>
      </c>
      <c r="B67" s="1">
        <v>150117</v>
      </c>
      <c r="C67" s="1">
        <v>11</v>
      </c>
      <c r="D67" s="20">
        <v>2.1461650085131301</v>
      </c>
      <c r="E67" s="1">
        <v>7</v>
      </c>
      <c r="G67" s="1">
        <v>63660</v>
      </c>
      <c r="H67">
        <f t="shared" si="0"/>
        <v>-45661.509999999995</v>
      </c>
      <c r="I67">
        <f t="shared" si="1"/>
        <v>2084973495.4800994</v>
      </c>
      <c r="N67" s="1">
        <v>150117</v>
      </c>
      <c r="O67" s="20">
        <v>2.1461650085131301</v>
      </c>
    </row>
    <row r="68" spans="1:15" x14ac:dyDescent="0.25">
      <c r="A68" s="1">
        <v>46</v>
      </c>
      <c r="B68" s="1">
        <v>48776</v>
      </c>
      <c r="C68" s="1">
        <v>49</v>
      </c>
      <c r="D68" s="20">
        <v>3.3633330422760399</v>
      </c>
      <c r="E68" s="1">
        <v>4</v>
      </c>
      <c r="G68" s="1">
        <v>159633</v>
      </c>
      <c r="H68">
        <f t="shared" si="0"/>
        <v>50311.490000000005</v>
      </c>
      <c r="I68">
        <f t="shared" si="1"/>
        <v>2531246026.0201006</v>
      </c>
      <c r="N68" s="1">
        <v>48776</v>
      </c>
      <c r="O68" s="20">
        <v>3.3633330422760399</v>
      </c>
    </row>
    <row r="69" spans="1:15" x14ac:dyDescent="0.25">
      <c r="A69" s="1">
        <v>46</v>
      </c>
      <c r="B69" s="1">
        <v>153376</v>
      </c>
      <c r="C69" s="1">
        <v>8</v>
      </c>
      <c r="D69" s="20">
        <v>1.1220009997561899</v>
      </c>
      <c r="E69" s="1">
        <v>18</v>
      </c>
      <c r="G69" s="1">
        <v>51854</v>
      </c>
      <c r="H69">
        <f t="shared" si="0"/>
        <v>-57467.509999999995</v>
      </c>
      <c r="I69">
        <f t="shared" si="1"/>
        <v>3302514705.6000996</v>
      </c>
      <c r="N69" s="1">
        <v>153376</v>
      </c>
      <c r="O69" s="20">
        <v>1.1220009997561899</v>
      </c>
    </row>
    <row r="70" spans="1:15" x14ac:dyDescent="0.25">
      <c r="A70" s="1">
        <v>46</v>
      </c>
      <c r="B70" s="1">
        <v>162848</v>
      </c>
      <c r="C70" s="1">
        <v>36</v>
      </c>
      <c r="D70" s="20">
        <v>1.1493927549968499</v>
      </c>
      <c r="E70" s="1">
        <v>13</v>
      </c>
      <c r="G70" s="1">
        <v>89505</v>
      </c>
      <c r="H70">
        <f t="shared" si="0"/>
        <v>-19816.509999999995</v>
      </c>
      <c r="I70">
        <f t="shared" si="1"/>
        <v>392694068.58009982</v>
      </c>
      <c r="K70" s="12">
        <f>_xlfn.STDEV.S(G59:G158)</f>
        <v>44418.086324573604</v>
      </c>
      <c r="L70" s="12" t="s">
        <v>17</v>
      </c>
      <c r="N70" s="1">
        <v>162848</v>
      </c>
      <c r="O70" s="20">
        <v>1.1493927549968499</v>
      </c>
    </row>
    <row r="71" spans="1:15" x14ac:dyDescent="0.25">
      <c r="A71" s="1">
        <v>47</v>
      </c>
      <c r="B71" s="1">
        <v>117787</v>
      </c>
      <c r="C71" s="1">
        <v>38</v>
      </c>
      <c r="D71" s="20">
        <v>4.2904022426386303</v>
      </c>
      <c r="E71" s="1">
        <v>11</v>
      </c>
      <c r="G71" s="1">
        <v>129488</v>
      </c>
      <c r="H71">
        <f t="shared" si="0"/>
        <v>20166.490000000005</v>
      </c>
      <c r="I71">
        <f t="shared" si="1"/>
        <v>406687318.92010021</v>
      </c>
      <c r="N71" s="1">
        <v>117787</v>
      </c>
      <c r="O71" s="20">
        <v>4.2904022426386303</v>
      </c>
    </row>
    <row r="72" spans="1:15" x14ac:dyDescent="0.25">
      <c r="A72" s="1">
        <v>48</v>
      </c>
      <c r="B72" s="1">
        <v>152948</v>
      </c>
      <c r="C72" s="1">
        <v>40</v>
      </c>
      <c r="D72" s="20">
        <v>2.4407625656450498</v>
      </c>
      <c r="E72" s="1">
        <v>4</v>
      </c>
      <c r="G72" s="1">
        <v>47662</v>
      </c>
      <c r="H72">
        <f t="shared" si="0"/>
        <v>-61659.509999999995</v>
      </c>
      <c r="I72">
        <f t="shared" si="1"/>
        <v>3801895173.4400992</v>
      </c>
      <c r="K72" t="s">
        <v>18</v>
      </c>
      <c r="N72" s="1">
        <v>152948</v>
      </c>
      <c r="O72" s="20">
        <v>2.4407625656450498</v>
      </c>
    </row>
    <row r="73" spans="1:15" x14ac:dyDescent="0.25">
      <c r="A73" s="1">
        <v>50</v>
      </c>
      <c r="B73" s="1">
        <v>80016</v>
      </c>
      <c r="C73" s="1">
        <v>20</v>
      </c>
      <c r="D73" s="20">
        <v>1.50824205060753</v>
      </c>
      <c r="E73" s="1">
        <v>4</v>
      </c>
      <c r="G73" s="1">
        <v>33392</v>
      </c>
      <c r="H73">
        <f t="shared" si="0"/>
        <v>-75929.509999999995</v>
      </c>
      <c r="I73">
        <f t="shared" si="1"/>
        <v>5765290488.8400993</v>
      </c>
      <c r="N73" s="1">
        <v>80016</v>
      </c>
      <c r="O73" s="20">
        <v>1.50824205060753</v>
      </c>
    </row>
    <row r="74" spans="1:15" x14ac:dyDescent="0.25">
      <c r="A74" s="1">
        <v>51</v>
      </c>
      <c r="B74" s="1">
        <v>165546</v>
      </c>
      <c r="C74" s="1">
        <v>35</v>
      </c>
      <c r="D74" s="20">
        <v>3.0889730402192099</v>
      </c>
      <c r="E74" s="1">
        <v>10</v>
      </c>
      <c r="G74" s="1">
        <v>55535</v>
      </c>
      <c r="H74">
        <f t="shared" si="0"/>
        <v>-53786.509999999995</v>
      </c>
      <c r="I74">
        <f t="shared" si="1"/>
        <v>2892988657.9800992</v>
      </c>
      <c r="N74" s="1">
        <v>165546</v>
      </c>
      <c r="O74" s="20">
        <v>3.0889730402192099</v>
      </c>
    </row>
    <row r="75" spans="1:15" x14ac:dyDescent="0.25">
      <c r="A75" s="1">
        <v>52</v>
      </c>
      <c r="B75" s="1">
        <v>46959</v>
      </c>
      <c r="C75" s="1">
        <v>48</v>
      </c>
      <c r="D75" s="20">
        <v>4.0799742123944398</v>
      </c>
      <c r="E75" s="1">
        <v>5</v>
      </c>
      <c r="G75" s="1">
        <v>138569</v>
      </c>
      <c r="H75">
        <f t="shared" si="0"/>
        <v>29247.490000000005</v>
      </c>
      <c r="I75">
        <f t="shared" si="1"/>
        <v>855415671.30010033</v>
      </c>
      <c r="N75" s="1">
        <v>46959</v>
      </c>
      <c r="O75" s="20">
        <v>4.0799742123944398</v>
      </c>
    </row>
    <row r="76" spans="1:15" x14ac:dyDescent="0.25">
      <c r="A76" s="1">
        <v>53</v>
      </c>
      <c r="B76" s="1">
        <v>161602</v>
      </c>
      <c r="C76" s="1">
        <v>25</v>
      </c>
      <c r="D76" s="20">
        <v>1.86328410998737</v>
      </c>
      <c r="E76" s="1">
        <v>9</v>
      </c>
      <c r="G76" s="1">
        <v>77256</v>
      </c>
      <c r="H76">
        <f t="shared" si="0"/>
        <v>-32065.509999999995</v>
      </c>
      <c r="I76">
        <f t="shared" si="1"/>
        <v>1028196931.5600997</v>
      </c>
      <c r="N76" s="1">
        <v>161602</v>
      </c>
      <c r="O76" s="20">
        <v>1.86328410998737</v>
      </c>
    </row>
    <row r="77" spans="1:15" x14ac:dyDescent="0.25">
      <c r="A77" s="1">
        <v>53</v>
      </c>
      <c r="B77" s="1">
        <v>144101</v>
      </c>
      <c r="C77" s="1">
        <v>35</v>
      </c>
      <c r="D77" s="20">
        <v>3.4915619032760001</v>
      </c>
      <c r="E77" s="1">
        <v>3</v>
      </c>
      <c r="G77" s="1">
        <v>114135</v>
      </c>
      <c r="H77">
        <f t="shared" si="0"/>
        <v>4813.4900000000052</v>
      </c>
      <c r="I77">
        <f t="shared" si="1"/>
        <v>23169685.980100051</v>
      </c>
      <c r="N77" s="1">
        <v>144101</v>
      </c>
      <c r="O77" s="20">
        <v>3.4915619032760001</v>
      </c>
    </row>
    <row r="78" spans="1:15" x14ac:dyDescent="0.25">
      <c r="A78" s="1">
        <v>53</v>
      </c>
      <c r="B78" s="1">
        <v>28748</v>
      </c>
      <c r="C78" s="1">
        <v>25</v>
      </c>
      <c r="D78" s="20">
        <v>1.34138985997507</v>
      </c>
      <c r="E78" s="1">
        <v>17</v>
      </c>
      <c r="G78" s="1">
        <v>152478</v>
      </c>
      <c r="H78">
        <f t="shared" si="0"/>
        <v>43156.490000000005</v>
      </c>
      <c r="I78">
        <f t="shared" si="1"/>
        <v>1862482629.1201005</v>
      </c>
      <c r="N78" s="1">
        <v>28748</v>
      </c>
      <c r="O78" s="20">
        <v>1.34138985997507</v>
      </c>
    </row>
    <row r="79" spans="1:15" x14ac:dyDescent="0.25">
      <c r="A79" s="1">
        <v>54</v>
      </c>
      <c r="B79" s="1">
        <v>38545</v>
      </c>
      <c r="C79" s="1">
        <v>29</v>
      </c>
      <c r="D79" s="20">
        <v>1.2067268846744299</v>
      </c>
      <c r="E79" s="1">
        <v>3</v>
      </c>
      <c r="G79" s="1">
        <v>60222</v>
      </c>
      <c r="H79">
        <f t="shared" si="0"/>
        <v>-49099.509999999995</v>
      </c>
      <c r="I79">
        <f t="shared" si="1"/>
        <v>2410761882.2400994</v>
      </c>
      <c r="N79" s="1">
        <v>38545</v>
      </c>
      <c r="O79" s="20">
        <v>1.2067268846744299</v>
      </c>
    </row>
    <row r="80" spans="1:15" x14ac:dyDescent="0.25">
      <c r="A80" s="1">
        <v>55</v>
      </c>
      <c r="B80" s="1">
        <v>152659</v>
      </c>
      <c r="C80" s="1">
        <v>18</v>
      </c>
      <c r="D80" s="20">
        <v>3.1254185262725902</v>
      </c>
      <c r="E80" s="1">
        <v>16</v>
      </c>
      <c r="G80" s="1">
        <v>102373</v>
      </c>
      <c r="H80">
        <f t="shared" si="0"/>
        <v>-6948.5099999999948</v>
      </c>
      <c r="I80">
        <f t="shared" si="1"/>
        <v>48281791.220099926</v>
      </c>
      <c r="N80" s="1">
        <v>152659</v>
      </c>
      <c r="O80" s="20">
        <v>3.1254185262725902</v>
      </c>
    </row>
    <row r="81" spans="1:15" x14ac:dyDescent="0.25">
      <c r="A81" s="1">
        <v>56</v>
      </c>
      <c r="B81" s="1">
        <v>98530</v>
      </c>
      <c r="C81" s="1">
        <v>46</v>
      </c>
      <c r="D81" s="20">
        <v>3.1625404864404199</v>
      </c>
      <c r="E81" s="1">
        <v>4</v>
      </c>
      <c r="G81" s="1">
        <v>148684</v>
      </c>
      <c r="H81">
        <f t="shared" si="0"/>
        <v>39362.490000000005</v>
      </c>
      <c r="I81">
        <f t="shared" si="1"/>
        <v>1549405619.0001004</v>
      </c>
      <c r="N81" s="1">
        <v>98530</v>
      </c>
      <c r="O81" s="20">
        <v>3.1625404864404199</v>
      </c>
    </row>
    <row r="82" spans="1:15" x14ac:dyDescent="0.25">
      <c r="A82" s="1">
        <v>56</v>
      </c>
      <c r="B82" s="1">
        <v>118557</v>
      </c>
      <c r="C82" s="1">
        <v>18</v>
      </c>
      <c r="D82" s="20">
        <v>3.54971960599282</v>
      </c>
      <c r="E82" s="1">
        <v>18</v>
      </c>
      <c r="G82" s="1">
        <v>35965</v>
      </c>
      <c r="H82">
        <f t="shared" si="0"/>
        <v>-73356.509999999995</v>
      </c>
      <c r="I82">
        <f t="shared" si="1"/>
        <v>5381177559.3800993</v>
      </c>
      <c r="N82" s="1">
        <v>118557</v>
      </c>
      <c r="O82" s="20">
        <v>3.54971960599282</v>
      </c>
    </row>
    <row r="83" spans="1:15" x14ac:dyDescent="0.25">
      <c r="A83" s="1">
        <v>56</v>
      </c>
      <c r="B83" s="1">
        <v>86087</v>
      </c>
      <c r="C83" s="1">
        <v>2</v>
      </c>
      <c r="D83" s="20">
        <v>3.90436533489064</v>
      </c>
      <c r="E83" s="1">
        <v>17</v>
      </c>
      <c r="G83" s="1">
        <v>49538</v>
      </c>
      <c r="H83">
        <f t="shared" si="0"/>
        <v>-59783.509999999995</v>
      </c>
      <c r="I83">
        <f t="shared" si="1"/>
        <v>3574068067.9200993</v>
      </c>
      <c r="N83" s="1">
        <v>86087</v>
      </c>
      <c r="O83" s="20">
        <v>3.90436533489064</v>
      </c>
    </row>
    <row r="84" spans="1:15" x14ac:dyDescent="0.25">
      <c r="A84" s="1">
        <v>57</v>
      </c>
      <c r="B84" s="1">
        <v>93840</v>
      </c>
      <c r="C84" s="1">
        <v>35</v>
      </c>
      <c r="D84" s="20">
        <v>4.90340831785013</v>
      </c>
      <c r="E84" s="1">
        <v>7</v>
      </c>
      <c r="G84" s="1">
        <v>133066</v>
      </c>
      <c r="H84">
        <f t="shared" si="0"/>
        <v>23744.490000000005</v>
      </c>
      <c r="I84">
        <f t="shared" si="1"/>
        <v>563800805.36010027</v>
      </c>
      <c r="N84" s="1">
        <v>93840</v>
      </c>
      <c r="O84" s="20">
        <v>4.90340831785013</v>
      </c>
    </row>
    <row r="85" spans="1:15" x14ac:dyDescent="0.25">
      <c r="A85" s="1">
        <v>57</v>
      </c>
      <c r="B85" s="1">
        <v>143451</v>
      </c>
      <c r="C85" s="1">
        <v>16</v>
      </c>
      <c r="D85" s="20">
        <v>3.0652013932047799</v>
      </c>
      <c r="E85" s="1">
        <v>5</v>
      </c>
      <c r="G85" s="1">
        <v>138252</v>
      </c>
      <c r="H85">
        <f t="shared" si="0"/>
        <v>28930.490000000005</v>
      </c>
      <c r="I85">
        <f t="shared" si="1"/>
        <v>836973251.64010036</v>
      </c>
      <c r="N85" s="1">
        <v>143451</v>
      </c>
      <c r="O85" s="20">
        <v>3.0652013932047799</v>
      </c>
    </row>
    <row r="86" spans="1:15" x14ac:dyDescent="0.25">
      <c r="A86" s="1">
        <v>57</v>
      </c>
      <c r="B86" s="1">
        <v>76005</v>
      </c>
      <c r="C86" s="1">
        <v>41</v>
      </c>
      <c r="D86" s="20">
        <v>2.2918258917649799</v>
      </c>
      <c r="E86" s="1">
        <v>12</v>
      </c>
      <c r="G86" s="1">
        <v>164182</v>
      </c>
      <c r="H86">
        <f t="shared" si="0"/>
        <v>54860.490000000005</v>
      </c>
      <c r="I86">
        <f t="shared" si="1"/>
        <v>3009673363.0401006</v>
      </c>
      <c r="N86" s="1">
        <v>76005</v>
      </c>
      <c r="O86" s="20">
        <v>2.2918258917649799</v>
      </c>
    </row>
    <row r="87" spans="1:15" x14ac:dyDescent="0.25">
      <c r="A87" s="1">
        <v>58</v>
      </c>
      <c r="B87" s="1">
        <v>64353</v>
      </c>
      <c r="C87" s="1">
        <v>36</v>
      </c>
      <c r="D87" s="20">
        <v>4.1807447790748098</v>
      </c>
      <c r="E87" s="1">
        <v>17</v>
      </c>
      <c r="G87" s="1">
        <v>123806</v>
      </c>
      <c r="H87">
        <f t="shared" si="0"/>
        <v>14484.490000000005</v>
      </c>
      <c r="I87">
        <f t="shared" si="1"/>
        <v>209800450.56010014</v>
      </c>
      <c r="N87" s="1">
        <v>64353</v>
      </c>
      <c r="O87" s="20">
        <v>4.1807447790748098</v>
      </c>
    </row>
    <row r="88" spans="1:15" x14ac:dyDescent="0.25">
      <c r="A88" s="1">
        <v>59</v>
      </c>
      <c r="B88" s="1">
        <v>77733</v>
      </c>
      <c r="C88" s="1">
        <v>33</v>
      </c>
      <c r="D88" s="20">
        <v>2.0833290050482902</v>
      </c>
      <c r="E88" s="1">
        <v>13</v>
      </c>
      <c r="G88" s="1">
        <v>162982</v>
      </c>
      <c r="H88">
        <f t="shared" si="0"/>
        <v>53660.490000000005</v>
      </c>
      <c r="I88">
        <f t="shared" si="1"/>
        <v>2879448187.0401006</v>
      </c>
      <c r="N88" s="1">
        <v>77733</v>
      </c>
      <c r="O88" s="20">
        <v>2.0833290050482902</v>
      </c>
    </row>
    <row r="89" spans="1:15" x14ac:dyDescent="0.25">
      <c r="A89" s="1">
        <v>59</v>
      </c>
      <c r="B89" s="1">
        <v>90318</v>
      </c>
      <c r="C89" s="1">
        <v>4</v>
      </c>
      <c r="D89" s="20">
        <v>2.75588568282254</v>
      </c>
      <c r="E89" s="1">
        <v>3</v>
      </c>
      <c r="G89" s="1">
        <v>135989</v>
      </c>
      <c r="H89">
        <f t="shared" si="0"/>
        <v>26667.490000000005</v>
      </c>
      <c r="I89">
        <f t="shared" si="1"/>
        <v>711155022.90010023</v>
      </c>
      <c r="N89" s="1">
        <v>90318</v>
      </c>
      <c r="O89" s="20">
        <v>2.75588568282254</v>
      </c>
    </row>
    <row r="90" spans="1:15" x14ac:dyDescent="0.25">
      <c r="A90" s="1">
        <v>60</v>
      </c>
      <c r="B90" s="1">
        <v>179736</v>
      </c>
      <c r="C90" s="1">
        <v>33</v>
      </c>
      <c r="D90" s="20">
        <v>1.3138255253690601</v>
      </c>
      <c r="E90" s="1">
        <v>9</v>
      </c>
      <c r="G90" s="1">
        <v>115982</v>
      </c>
      <c r="H90">
        <f t="shared" si="0"/>
        <v>6660.4900000000052</v>
      </c>
      <c r="I90">
        <f t="shared" si="1"/>
        <v>44362127.040100068</v>
      </c>
      <c r="N90" s="1">
        <v>179736</v>
      </c>
      <c r="O90" s="20">
        <v>1.3138255253690601</v>
      </c>
    </row>
    <row r="91" spans="1:15" x14ac:dyDescent="0.25">
      <c r="A91" s="1">
        <v>61</v>
      </c>
      <c r="B91" s="1">
        <v>92172</v>
      </c>
      <c r="C91" s="1">
        <v>14</v>
      </c>
      <c r="D91" s="20">
        <v>1.10140297366183</v>
      </c>
      <c r="E91" s="1">
        <v>17</v>
      </c>
      <c r="G91" s="1">
        <v>146626</v>
      </c>
      <c r="H91">
        <f t="shared" si="0"/>
        <v>37304.490000000005</v>
      </c>
      <c r="I91">
        <f t="shared" si="1"/>
        <v>1391624974.1601005</v>
      </c>
      <c r="N91" s="1">
        <v>92172</v>
      </c>
      <c r="O91" s="20">
        <v>1.10140297366183</v>
      </c>
    </row>
    <row r="92" spans="1:15" x14ac:dyDescent="0.25">
      <c r="A92" s="1">
        <v>61</v>
      </c>
      <c r="B92" s="1">
        <v>118264</v>
      </c>
      <c r="C92" s="1">
        <v>21</v>
      </c>
      <c r="D92" s="20">
        <v>4.8505936587117002</v>
      </c>
      <c r="E92" s="1">
        <v>17</v>
      </c>
      <c r="G92" s="1">
        <v>144176</v>
      </c>
      <c r="H92">
        <f t="shared" si="0"/>
        <v>34854.490000000005</v>
      </c>
      <c r="I92">
        <f t="shared" si="1"/>
        <v>1214835473.1601005</v>
      </c>
      <c r="N92" s="1">
        <v>118264</v>
      </c>
      <c r="O92" s="20">
        <v>4.8505936587117002</v>
      </c>
    </row>
    <row r="93" spans="1:15" x14ac:dyDescent="0.25">
      <c r="A93" s="1">
        <v>61</v>
      </c>
      <c r="B93" s="1">
        <v>51736</v>
      </c>
      <c r="C93" s="1">
        <v>48</v>
      </c>
      <c r="D93" s="20">
        <v>4.3439204820488202</v>
      </c>
      <c r="E93" s="1">
        <v>16</v>
      </c>
      <c r="G93" s="1">
        <v>156278</v>
      </c>
      <c r="H93">
        <f t="shared" si="0"/>
        <v>46956.490000000005</v>
      </c>
      <c r="I93">
        <f t="shared" si="1"/>
        <v>2204911953.1201005</v>
      </c>
      <c r="N93" s="1">
        <v>51736</v>
      </c>
      <c r="O93" s="20">
        <v>4.3439204820488202</v>
      </c>
    </row>
    <row r="94" spans="1:15" x14ac:dyDescent="0.25">
      <c r="A94" s="1">
        <v>61</v>
      </c>
      <c r="B94" s="1">
        <v>137859</v>
      </c>
      <c r="C94" s="1">
        <v>20</v>
      </c>
      <c r="D94" s="20">
        <v>3.7838968243747901</v>
      </c>
      <c r="E94" s="1">
        <v>13</v>
      </c>
      <c r="G94" s="1">
        <v>147409</v>
      </c>
      <c r="H94">
        <f t="shared" si="0"/>
        <v>38087.490000000005</v>
      </c>
      <c r="I94">
        <f t="shared" si="1"/>
        <v>1450656894.5001004</v>
      </c>
      <c r="N94" s="1">
        <v>137859</v>
      </c>
      <c r="O94" s="20">
        <v>3.7838968243747901</v>
      </c>
    </row>
    <row r="95" spans="1:15" x14ac:dyDescent="0.25">
      <c r="A95" s="1">
        <v>61</v>
      </c>
      <c r="B95" s="1">
        <v>137181</v>
      </c>
      <c r="C95" s="1">
        <v>8</v>
      </c>
      <c r="D95" s="20">
        <v>2.6358117776570702</v>
      </c>
      <c r="E95" s="1">
        <v>19</v>
      </c>
      <c r="G95" s="1">
        <v>48419</v>
      </c>
      <c r="H95">
        <f t="shared" si="0"/>
        <v>-60902.509999999995</v>
      </c>
      <c r="I95">
        <f t="shared" si="1"/>
        <v>3709115724.3000994</v>
      </c>
      <c r="N95" s="1">
        <v>137181</v>
      </c>
      <c r="O95" s="20">
        <v>2.6358117776570702</v>
      </c>
    </row>
    <row r="96" spans="1:15" x14ac:dyDescent="0.25">
      <c r="A96" s="1">
        <v>61</v>
      </c>
      <c r="B96" s="1">
        <v>156926</v>
      </c>
      <c r="C96" s="1">
        <v>7</v>
      </c>
      <c r="D96" s="20">
        <v>1.69317728028338</v>
      </c>
      <c r="E96" s="1">
        <v>17</v>
      </c>
      <c r="G96" s="1">
        <v>75015</v>
      </c>
      <c r="H96">
        <f t="shared" si="0"/>
        <v>-34306.509999999995</v>
      </c>
      <c r="I96">
        <f t="shared" si="1"/>
        <v>1176936628.3800995</v>
      </c>
      <c r="N96" s="1">
        <v>156926</v>
      </c>
      <c r="O96" s="20">
        <v>1.69317728028338</v>
      </c>
    </row>
    <row r="97" spans="1:16" x14ac:dyDescent="0.25">
      <c r="A97" s="1">
        <v>62</v>
      </c>
      <c r="B97" s="1">
        <v>115084</v>
      </c>
      <c r="C97" s="1">
        <v>3</v>
      </c>
      <c r="D97" s="20">
        <v>1.62574817068434</v>
      </c>
      <c r="E97" s="1">
        <v>4</v>
      </c>
      <c r="G97" s="1">
        <v>147096</v>
      </c>
      <c r="H97">
        <f t="shared" si="0"/>
        <v>37774.490000000005</v>
      </c>
      <c r="I97">
        <f t="shared" si="1"/>
        <v>1426912094.7601004</v>
      </c>
      <c r="N97" s="1">
        <v>115084</v>
      </c>
      <c r="O97" s="20">
        <v>1.62574817068434</v>
      </c>
    </row>
    <row r="98" spans="1:16" x14ac:dyDescent="0.25">
      <c r="A98" s="1">
        <v>62</v>
      </c>
      <c r="B98" s="1">
        <v>32392</v>
      </c>
      <c r="C98" s="1">
        <v>17</v>
      </c>
      <c r="D98" s="20">
        <v>2.00097159265838</v>
      </c>
      <c r="E98" s="1">
        <v>12</v>
      </c>
      <c r="G98" s="1">
        <v>132059</v>
      </c>
      <c r="H98">
        <f t="shared" si="0"/>
        <v>22737.490000000005</v>
      </c>
      <c r="I98">
        <f t="shared" si="1"/>
        <v>516993451.50010026</v>
      </c>
      <c r="N98" s="1">
        <v>32392</v>
      </c>
      <c r="O98" s="20">
        <v>2.00097159265838</v>
      </c>
    </row>
    <row r="99" spans="1:16" x14ac:dyDescent="0.25">
      <c r="A99" s="1">
        <v>62</v>
      </c>
      <c r="B99" s="1">
        <v>80680</v>
      </c>
      <c r="C99" s="1">
        <v>33</v>
      </c>
      <c r="D99" s="20">
        <v>3.1969066588244801</v>
      </c>
      <c r="E99" s="1">
        <v>9</v>
      </c>
      <c r="G99" s="1">
        <v>135687</v>
      </c>
      <c r="H99">
        <f t="shared" si="0"/>
        <v>26365.490000000005</v>
      </c>
      <c r="I99">
        <f t="shared" si="1"/>
        <v>695139062.94010031</v>
      </c>
      <c r="N99" s="1">
        <v>80680</v>
      </c>
      <c r="O99" s="20">
        <v>3.1969066588244801</v>
      </c>
    </row>
    <row r="100" spans="1:16" x14ac:dyDescent="0.25">
      <c r="A100" s="1">
        <v>64</v>
      </c>
      <c r="B100" s="1">
        <v>75859</v>
      </c>
      <c r="C100" s="1">
        <v>48</v>
      </c>
      <c r="D100" s="20">
        <v>3.85838369080024</v>
      </c>
      <c r="E100" s="1">
        <v>19</v>
      </c>
      <c r="G100" s="1">
        <v>112939</v>
      </c>
      <c r="H100">
        <f t="shared" si="0"/>
        <v>3617.4900000000052</v>
      </c>
      <c r="I100">
        <f t="shared" si="1"/>
        <v>13086233.900100037</v>
      </c>
      <c r="N100" s="1">
        <v>75859</v>
      </c>
      <c r="O100" s="20">
        <v>3.85838369080024</v>
      </c>
    </row>
    <row r="101" spans="1:16" x14ac:dyDescent="0.25">
      <c r="A101" s="1">
        <v>64</v>
      </c>
      <c r="B101" s="1">
        <v>150657</v>
      </c>
      <c r="C101" s="1">
        <v>12</v>
      </c>
      <c r="D101" s="20">
        <v>3.6407895068709202</v>
      </c>
      <c r="E101" s="1">
        <v>12</v>
      </c>
      <c r="G101" s="1">
        <v>174213</v>
      </c>
      <c r="H101">
        <f t="shared" si="0"/>
        <v>64891.490000000005</v>
      </c>
      <c r="I101">
        <f t="shared" si="1"/>
        <v>4210905474.4201007</v>
      </c>
      <c r="N101" s="1">
        <v>150657</v>
      </c>
      <c r="O101" s="20">
        <v>3.6407895068709202</v>
      </c>
    </row>
    <row r="102" spans="1:16" x14ac:dyDescent="0.25">
      <c r="A102" s="1">
        <v>64</v>
      </c>
      <c r="B102" s="1">
        <v>95467</v>
      </c>
      <c r="C102" s="1">
        <v>22</v>
      </c>
      <c r="D102" s="20">
        <v>2.11973558778377</v>
      </c>
      <c r="E102" s="1">
        <v>9</v>
      </c>
      <c r="G102" s="1">
        <v>130878</v>
      </c>
      <c r="H102">
        <f t="shared" si="0"/>
        <v>21556.490000000005</v>
      </c>
      <c r="I102">
        <f t="shared" si="1"/>
        <v>464682261.1201002</v>
      </c>
      <c r="N102" s="1">
        <v>95467</v>
      </c>
      <c r="O102" s="20">
        <v>2.11973558778377</v>
      </c>
      <c r="P102" s="17" t="s">
        <v>21</v>
      </c>
    </row>
    <row r="103" spans="1:16" x14ac:dyDescent="0.25">
      <c r="A103" s="1">
        <v>64</v>
      </c>
      <c r="B103" s="1">
        <v>123506</v>
      </c>
      <c r="C103" s="1">
        <v>22</v>
      </c>
      <c r="D103" s="20">
        <v>4.8194611226527702</v>
      </c>
      <c r="E103" s="1">
        <v>7</v>
      </c>
      <c r="G103" s="1">
        <v>87623</v>
      </c>
      <c r="H103">
        <f t="shared" si="0"/>
        <v>-21698.509999999995</v>
      </c>
      <c r="I103">
        <f t="shared" si="1"/>
        <v>470825336.22009975</v>
      </c>
      <c r="N103" s="1">
        <v>123506</v>
      </c>
      <c r="O103" s="20">
        <v>4.8194611226527702</v>
      </c>
    </row>
    <row r="104" spans="1:16" ht="15.75" thickBot="1" x14ac:dyDescent="0.3">
      <c r="G104" s="1">
        <v>100450</v>
      </c>
      <c r="H104">
        <f t="shared" si="0"/>
        <v>-8871.5099999999948</v>
      </c>
      <c r="I104">
        <f t="shared" si="1"/>
        <v>78703689.680099905</v>
      </c>
    </row>
    <row r="105" spans="1:16" x14ac:dyDescent="0.25">
      <c r="G105" s="1">
        <v>118426</v>
      </c>
      <c r="H105">
        <f t="shared" si="0"/>
        <v>9104.4900000000052</v>
      </c>
      <c r="I105">
        <f t="shared" si="1"/>
        <v>82891738.160100102</v>
      </c>
      <c r="N105" s="16"/>
      <c r="O105" s="16" t="s">
        <v>1</v>
      </c>
      <c r="P105" s="16" t="s">
        <v>3</v>
      </c>
    </row>
    <row r="106" spans="1:16" x14ac:dyDescent="0.25">
      <c r="G106" s="1">
        <v>142845</v>
      </c>
      <c r="H106">
        <f t="shared" si="0"/>
        <v>33523.490000000005</v>
      </c>
      <c r="I106">
        <f t="shared" si="1"/>
        <v>1123824381.7801003</v>
      </c>
      <c r="N106" s="14" t="s">
        <v>1</v>
      </c>
      <c r="O106" s="14">
        <v>1</v>
      </c>
      <c r="P106" s="14"/>
    </row>
    <row r="107" spans="1:16" ht="15.75" thickBot="1" x14ac:dyDescent="0.3">
      <c r="G107" s="1">
        <v>178371</v>
      </c>
      <c r="H107">
        <f t="shared" si="0"/>
        <v>69049.490000000005</v>
      </c>
      <c r="I107">
        <f t="shared" si="1"/>
        <v>4767832069.2601004</v>
      </c>
      <c r="N107" s="15" t="s">
        <v>3</v>
      </c>
      <c r="O107" s="15">
        <v>-0.16429646341884679</v>
      </c>
      <c r="P107" s="15">
        <v>1</v>
      </c>
    </row>
    <row r="108" spans="1:16" x14ac:dyDescent="0.25">
      <c r="B108" s="13">
        <f>SKEW(C4:C103)</f>
        <v>4.8663601904092149E-2</v>
      </c>
      <c r="C108" s="12" t="s">
        <v>19</v>
      </c>
      <c r="D108" s="12"/>
      <c r="E108" s="12"/>
      <c r="G108" s="1">
        <v>68585</v>
      </c>
      <c r="H108">
        <f t="shared" si="0"/>
        <v>-40736.509999999995</v>
      </c>
      <c r="I108">
        <f t="shared" si="1"/>
        <v>1659463246.9800997</v>
      </c>
    </row>
    <row r="109" spans="1:16" x14ac:dyDescent="0.25">
      <c r="B109" s="12"/>
      <c r="C109" s="12"/>
      <c r="D109" s="12"/>
      <c r="E109" s="12"/>
      <c r="G109" s="1">
        <v>134225</v>
      </c>
      <c r="H109">
        <f t="shared" si="0"/>
        <v>24903.490000000005</v>
      </c>
      <c r="I109">
        <f t="shared" si="1"/>
        <v>620183814.1801002</v>
      </c>
    </row>
    <row r="110" spans="1:16" x14ac:dyDescent="0.25">
      <c r="B110" s="13">
        <f>KURT(C4:C103)</f>
        <v>-1.055159061973828</v>
      </c>
      <c r="C110" s="12" t="s">
        <v>20</v>
      </c>
      <c r="D110" s="12"/>
      <c r="E110" s="12"/>
      <c r="G110" s="1">
        <v>89044</v>
      </c>
      <c r="H110">
        <f t="shared" si="0"/>
        <v>-20277.509999999995</v>
      </c>
      <c r="I110">
        <f t="shared" si="1"/>
        <v>411177411.80009979</v>
      </c>
    </row>
    <row r="111" spans="1:16" x14ac:dyDescent="0.25">
      <c r="G111" s="1">
        <v>134556</v>
      </c>
      <c r="H111">
        <f t="shared" si="0"/>
        <v>25234.490000000005</v>
      </c>
      <c r="I111">
        <f t="shared" si="1"/>
        <v>636779485.56010032</v>
      </c>
    </row>
    <row r="112" spans="1:16" x14ac:dyDescent="0.25">
      <c r="G112" s="1">
        <v>27693</v>
      </c>
      <c r="H112">
        <f t="shared" si="0"/>
        <v>-81628.509999999995</v>
      </c>
      <c r="I112">
        <f t="shared" si="1"/>
        <v>6663213644.8200989</v>
      </c>
    </row>
    <row r="113" spans="2:14" x14ac:dyDescent="0.25">
      <c r="G113" s="1">
        <v>120259</v>
      </c>
      <c r="H113">
        <f t="shared" si="0"/>
        <v>10937.490000000005</v>
      </c>
      <c r="I113">
        <f t="shared" si="1"/>
        <v>119628687.50010012</v>
      </c>
    </row>
    <row r="114" spans="2:14" x14ac:dyDescent="0.25">
      <c r="G114" s="1">
        <v>50939</v>
      </c>
      <c r="H114">
        <f t="shared" si="0"/>
        <v>-58382.509999999995</v>
      </c>
      <c r="I114">
        <f t="shared" si="1"/>
        <v>3408517473.9000993</v>
      </c>
    </row>
    <row r="115" spans="2:14" x14ac:dyDescent="0.25">
      <c r="B115" s="12">
        <f>COUNT(I8:I50)</f>
        <v>43</v>
      </c>
      <c r="C115" s="12" t="s">
        <v>22</v>
      </c>
      <c r="D115" s="12"/>
      <c r="G115" s="1">
        <v>177906</v>
      </c>
      <c r="H115">
        <f t="shared" si="0"/>
        <v>68584.490000000005</v>
      </c>
      <c r="I115">
        <f t="shared" si="1"/>
        <v>4703832268.5601006</v>
      </c>
    </row>
    <row r="116" spans="2:14" x14ac:dyDescent="0.25">
      <c r="B116" s="12">
        <f>COUNT(B4:B103)</f>
        <v>100</v>
      </c>
      <c r="C116" s="12" t="s">
        <v>23</v>
      </c>
      <c r="D116" s="12"/>
      <c r="G116" s="1">
        <v>43047</v>
      </c>
      <c r="H116">
        <f t="shared" si="0"/>
        <v>-66274.509999999995</v>
      </c>
      <c r="I116">
        <f t="shared" si="1"/>
        <v>4392310675.740099</v>
      </c>
    </row>
    <row r="117" spans="2:14" x14ac:dyDescent="0.25">
      <c r="B117" s="12">
        <f>AVERAGE(I8:I50)</f>
        <v>41</v>
      </c>
      <c r="C117" s="12" t="s">
        <v>24</v>
      </c>
      <c r="D117" s="12"/>
      <c r="G117" s="1">
        <v>51105</v>
      </c>
      <c r="H117">
        <f t="shared" si="0"/>
        <v>-58216.509999999995</v>
      </c>
      <c r="I117">
        <f t="shared" si="1"/>
        <v>3389162036.5800996</v>
      </c>
    </row>
    <row r="118" spans="2:14" x14ac:dyDescent="0.25">
      <c r="B118" s="12">
        <f>AVERAGE(B4:B103)</f>
        <v>109321.51</v>
      </c>
      <c r="C118" s="12" t="s">
        <v>25</v>
      </c>
      <c r="D118" s="12"/>
      <c r="G118" s="1">
        <v>100766</v>
      </c>
      <c r="H118">
        <f t="shared" si="0"/>
        <v>-8555.5099999999948</v>
      </c>
      <c r="I118">
        <f t="shared" si="1"/>
        <v>73196751.360099912</v>
      </c>
    </row>
    <row r="119" spans="2:14" x14ac:dyDescent="0.25">
      <c r="B119" s="12">
        <f>AVERAGE(C4:C103)</f>
        <v>24.47</v>
      </c>
      <c r="C119" s="12" t="s">
        <v>26</v>
      </c>
      <c r="D119" s="12"/>
      <c r="G119" s="1">
        <v>171779</v>
      </c>
      <c r="H119">
        <f t="shared" si="0"/>
        <v>62457.490000000005</v>
      </c>
      <c r="I119">
        <f t="shared" si="1"/>
        <v>3900938057.1001005</v>
      </c>
    </row>
    <row r="120" spans="2:14" x14ac:dyDescent="0.25">
      <c r="B120" s="13">
        <f>AVERAGE(D4:D103)</f>
        <v>3.135648299226133</v>
      </c>
      <c r="C120" s="12" t="s">
        <v>27</v>
      </c>
      <c r="D120" s="12"/>
      <c r="G120" s="1">
        <v>178048</v>
      </c>
      <c r="H120">
        <f t="shared" si="0"/>
        <v>68726.490000000005</v>
      </c>
      <c r="I120">
        <f t="shared" si="1"/>
        <v>4723330427.7201004</v>
      </c>
    </row>
    <row r="121" spans="2:14" x14ac:dyDescent="0.25">
      <c r="B121" s="12">
        <f>AVERAGE(E4:E103)</f>
        <v>9.9600000000000009</v>
      </c>
      <c r="C121" s="12" t="s">
        <v>28</v>
      </c>
      <c r="D121" s="12"/>
      <c r="G121" s="1">
        <v>69262</v>
      </c>
      <c r="H121">
        <f t="shared" si="0"/>
        <v>-40059.509999999995</v>
      </c>
      <c r="I121">
        <f t="shared" si="1"/>
        <v>1604764341.4400995</v>
      </c>
    </row>
    <row r="122" spans="2:14" x14ac:dyDescent="0.25">
      <c r="G122" s="1">
        <v>150117</v>
      </c>
      <c r="H122">
        <f t="shared" si="0"/>
        <v>40795.490000000005</v>
      </c>
      <c r="I122">
        <f t="shared" si="1"/>
        <v>1664272004.3401005</v>
      </c>
    </row>
    <row r="123" spans="2:14" x14ac:dyDescent="0.25">
      <c r="B123" s="12">
        <f>MIN(I8:I50)</f>
        <v>18</v>
      </c>
      <c r="C123" s="12" t="s">
        <v>29</v>
      </c>
      <c r="D123" s="12"/>
      <c r="G123" s="1">
        <v>48776</v>
      </c>
      <c r="H123">
        <f t="shared" si="0"/>
        <v>-60545.509999999995</v>
      </c>
      <c r="I123">
        <f t="shared" si="1"/>
        <v>3665758781.1600995</v>
      </c>
      <c r="L123" t="s">
        <v>64</v>
      </c>
    </row>
    <row r="124" spans="2:14" x14ac:dyDescent="0.25">
      <c r="B124" s="12">
        <f>MIN(B4:B103)</f>
        <v>27693</v>
      </c>
      <c r="C124" s="12" t="s">
        <v>30</v>
      </c>
      <c r="D124" s="12"/>
      <c r="G124" s="1">
        <v>153376</v>
      </c>
      <c r="H124">
        <f t="shared" ref="H124:H158" si="2">G124-$G$56</f>
        <v>44054.490000000005</v>
      </c>
      <c r="I124">
        <f t="shared" ref="I124:I158" si="3">(H124)^2</f>
        <v>1940798089.1601005</v>
      </c>
    </row>
    <row r="125" spans="2:14" x14ac:dyDescent="0.25">
      <c r="B125" s="12">
        <f>MIN(C4:C103)</f>
        <v>1</v>
      </c>
      <c r="C125" s="12" t="s">
        <v>31</v>
      </c>
      <c r="D125" s="12"/>
      <c r="G125" s="1">
        <v>162848</v>
      </c>
      <c r="H125">
        <f t="shared" si="2"/>
        <v>53526.490000000005</v>
      </c>
      <c r="I125">
        <f t="shared" si="3"/>
        <v>2865085131.7201004</v>
      </c>
    </row>
    <row r="126" spans="2:14" x14ac:dyDescent="0.25">
      <c r="B126" s="13">
        <f>MIN(D4:D103)</f>
        <v>1.0618264661154599</v>
      </c>
      <c r="C126" s="12" t="s">
        <v>32</v>
      </c>
      <c r="D126" s="12"/>
      <c r="G126" s="1">
        <v>117787</v>
      </c>
      <c r="H126">
        <f t="shared" si="2"/>
        <v>8465.4900000000052</v>
      </c>
      <c r="I126">
        <f t="shared" si="3"/>
        <v>71664520.940100089</v>
      </c>
      <c r="L126" s="12" t="s">
        <v>65</v>
      </c>
      <c r="M126" s="12" t="s">
        <v>66</v>
      </c>
      <c r="N126" s="12"/>
    </row>
    <row r="127" spans="2:14" x14ac:dyDescent="0.25">
      <c r="B127" s="12">
        <f>MIN(E4:E103)</f>
        <v>1</v>
      </c>
      <c r="C127" s="12" t="s">
        <v>33</v>
      </c>
      <c r="D127" s="12"/>
      <c r="G127" s="1">
        <v>152948</v>
      </c>
      <c r="H127">
        <f t="shared" si="2"/>
        <v>43626.490000000005</v>
      </c>
      <c r="I127">
        <f t="shared" si="3"/>
        <v>1903270629.7201004</v>
      </c>
    </row>
    <row r="128" spans="2:14" x14ac:dyDescent="0.25">
      <c r="G128" s="1">
        <v>80016</v>
      </c>
      <c r="H128">
        <f t="shared" si="2"/>
        <v>-29305.509999999995</v>
      </c>
      <c r="I128">
        <f t="shared" si="3"/>
        <v>858812916.36009967</v>
      </c>
      <c r="L128" s="18">
        <f>MEDIAN(D4:D103)</f>
        <v>3.18374259882739</v>
      </c>
      <c r="M128" t="s">
        <v>69</v>
      </c>
    </row>
    <row r="129" spans="2:16" x14ac:dyDescent="0.25">
      <c r="B129" s="12">
        <f>MAX(I8:I50)</f>
        <v>64</v>
      </c>
      <c r="C129" s="12" t="s">
        <v>34</v>
      </c>
      <c r="D129" s="12"/>
      <c r="G129" s="1">
        <v>165546</v>
      </c>
      <c r="H129">
        <f t="shared" si="2"/>
        <v>56224.490000000005</v>
      </c>
      <c r="I129">
        <f t="shared" si="3"/>
        <v>3161193275.7601004</v>
      </c>
      <c r="L129" s="18">
        <f>QUARTILE(D4:D103,1)</f>
        <v>2.1673167849217601</v>
      </c>
      <c r="M129" t="s">
        <v>67</v>
      </c>
    </row>
    <row r="130" spans="2:16" x14ac:dyDescent="0.25">
      <c r="B130" s="12">
        <f>MAX(B4:B103)</f>
        <v>179736</v>
      </c>
      <c r="C130" s="12" t="s">
        <v>35</v>
      </c>
      <c r="D130" s="12"/>
      <c r="G130" s="1">
        <v>46959</v>
      </c>
      <c r="H130">
        <f t="shared" si="2"/>
        <v>-62362.509999999995</v>
      </c>
      <c r="I130">
        <f t="shared" si="3"/>
        <v>3889082653.5000992</v>
      </c>
      <c r="L130" s="18">
        <f>QUARTILE(D4:D103,3)</f>
        <v>4.1813512537422071</v>
      </c>
      <c r="M130" t="s">
        <v>68</v>
      </c>
    </row>
    <row r="131" spans="2:16" x14ac:dyDescent="0.25">
      <c r="B131" s="12">
        <f>MAX(C4:C103)</f>
        <v>49</v>
      </c>
      <c r="C131" s="12" t="s">
        <v>36</v>
      </c>
      <c r="D131" s="12"/>
      <c r="G131" s="1">
        <v>161602</v>
      </c>
      <c r="H131">
        <f t="shared" si="2"/>
        <v>52280.490000000005</v>
      </c>
      <c r="I131">
        <f t="shared" si="3"/>
        <v>2733249634.6401005</v>
      </c>
      <c r="L131" s="18">
        <f>L130-L129</f>
        <v>2.014034468820447</v>
      </c>
      <c r="M131" t="s">
        <v>70</v>
      </c>
    </row>
    <row r="132" spans="2:16" x14ac:dyDescent="0.25">
      <c r="B132" s="13">
        <f>MAX(D4:D103)</f>
        <v>4.9602154004170496</v>
      </c>
      <c r="C132" s="12" t="s">
        <v>37</v>
      </c>
      <c r="D132" s="12"/>
      <c r="G132" s="1">
        <v>144101</v>
      </c>
      <c r="H132">
        <f t="shared" si="2"/>
        <v>34779.490000000005</v>
      </c>
      <c r="I132">
        <f t="shared" si="3"/>
        <v>1209612924.6601005</v>
      </c>
      <c r="L132" s="18">
        <f>L129-1.5*L131</f>
        <v>-0.85373491830891046</v>
      </c>
      <c r="M132" t="s">
        <v>71</v>
      </c>
    </row>
    <row r="133" spans="2:16" x14ac:dyDescent="0.25">
      <c r="B133" s="12">
        <f>MAX(E4:E103)</f>
        <v>19</v>
      </c>
      <c r="C133" s="12" t="s">
        <v>38</v>
      </c>
      <c r="D133" s="12"/>
      <c r="G133" s="1">
        <v>28748</v>
      </c>
      <c r="H133">
        <f t="shared" si="2"/>
        <v>-80573.509999999995</v>
      </c>
      <c r="I133">
        <f t="shared" si="3"/>
        <v>6492090513.7200994</v>
      </c>
      <c r="L133" s="18">
        <f>L130+1.5*L131</f>
        <v>7.2024029569728771</v>
      </c>
      <c r="M133" t="s">
        <v>72</v>
      </c>
    </row>
    <row r="134" spans="2:16" x14ac:dyDescent="0.25">
      <c r="G134" s="1">
        <v>38545</v>
      </c>
      <c r="H134">
        <f t="shared" si="2"/>
        <v>-70776.509999999995</v>
      </c>
      <c r="I134">
        <f t="shared" si="3"/>
        <v>5009314367.7800989</v>
      </c>
    </row>
    <row r="135" spans="2:16" x14ac:dyDescent="0.25">
      <c r="B135" s="13">
        <f>_xlfn.STDEV.S(I8:I50)</f>
        <v>13.467774589031121</v>
      </c>
      <c r="C135" s="12" t="s">
        <v>39</v>
      </c>
      <c r="D135" s="12"/>
      <c r="G135" s="1">
        <v>152659</v>
      </c>
      <c r="H135">
        <f t="shared" si="2"/>
        <v>43337.490000000005</v>
      </c>
      <c r="I135">
        <f t="shared" si="3"/>
        <v>1878138039.5001004</v>
      </c>
      <c r="L135" s="12" t="s">
        <v>73</v>
      </c>
      <c r="M135" s="12"/>
      <c r="N135" s="12"/>
      <c r="O135" s="12"/>
    </row>
    <row r="136" spans="2:16" x14ac:dyDescent="0.25">
      <c r="B136" s="12">
        <f>_xlfn.STDEV.S(B4:B103)</f>
        <v>44418.086324573604</v>
      </c>
      <c r="C136" s="12" t="s">
        <v>40</v>
      </c>
      <c r="D136" s="12"/>
      <c r="G136" s="1">
        <v>98530</v>
      </c>
      <c r="H136">
        <f t="shared" si="2"/>
        <v>-10791.509999999995</v>
      </c>
      <c r="I136">
        <f t="shared" si="3"/>
        <v>116456688.08009988</v>
      </c>
    </row>
    <row r="137" spans="2:16" x14ac:dyDescent="0.25">
      <c r="B137" s="13">
        <f>_xlfn.STDEV.S(C4:C103)</f>
        <v>13.994555218283137</v>
      </c>
      <c r="C137" s="12" t="s">
        <v>41</v>
      </c>
      <c r="D137" s="12"/>
      <c r="G137" s="1">
        <v>118557</v>
      </c>
      <c r="H137">
        <f t="shared" si="2"/>
        <v>9235.4900000000052</v>
      </c>
      <c r="I137">
        <f t="shared" si="3"/>
        <v>85294275.540100098</v>
      </c>
      <c r="L137" s="12" t="s">
        <v>74</v>
      </c>
      <c r="M137" s="12"/>
      <c r="N137" s="12"/>
      <c r="O137" s="12"/>
      <c r="P137" s="12"/>
    </row>
    <row r="138" spans="2:16" x14ac:dyDescent="0.25">
      <c r="B138" s="13">
        <f>_xlfn.STDEV.S(D4:D103)</f>
        <v>1.1712801306942608</v>
      </c>
      <c r="C138" s="12" t="s">
        <v>42</v>
      </c>
      <c r="D138" s="12"/>
      <c r="G138" s="1">
        <v>86087</v>
      </c>
      <c r="H138">
        <f t="shared" si="2"/>
        <v>-23234.509999999995</v>
      </c>
      <c r="I138">
        <f t="shared" si="3"/>
        <v>539842454.94009972</v>
      </c>
      <c r="L138" s="21" t="s">
        <v>75</v>
      </c>
      <c r="M138" s="22">
        <f>44418.09/10932.5</f>
        <v>4.0629398582209006</v>
      </c>
    </row>
    <row r="139" spans="2:16" x14ac:dyDescent="0.25">
      <c r="B139" s="13">
        <f>_xlfn.STDEV.S(E4:E103)</f>
        <v>5.8204099269013447</v>
      </c>
      <c r="C139" s="12" t="s">
        <v>43</v>
      </c>
      <c r="D139" s="12"/>
      <c r="G139" s="1">
        <v>93840</v>
      </c>
      <c r="H139">
        <f t="shared" si="2"/>
        <v>-15481.509999999995</v>
      </c>
      <c r="I139">
        <f t="shared" si="3"/>
        <v>239677151.88009983</v>
      </c>
    </row>
    <row r="140" spans="2:16" x14ac:dyDescent="0.25">
      <c r="G140" s="1">
        <v>143451</v>
      </c>
      <c r="H140">
        <f t="shared" si="2"/>
        <v>34129.490000000005</v>
      </c>
      <c r="I140">
        <f t="shared" si="3"/>
        <v>1164822087.6601005</v>
      </c>
    </row>
    <row r="141" spans="2:16" x14ac:dyDescent="0.25">
      <c r="B141" s="12">
        <f>MEDIAN(I8:I50)</f>
        <v>41</v>
      </c>
      <c r="C141" s="12" t="s">
        <v>44</v>
      </c>
      <c r="D141" s="12"/>
      <c r="G141" s="1">
        <v>76005</v>
      </c>
      <c r="H141">
        <f t="shared" si="2"/>
        <v>-33316.509999999995</v>
      </c>
      <c r="I141">
        <f t="shared" si="3"/>
        <v>1109989838.5800996</v>
      </c>
      <c r="L141" s="12" t="s">
        <v>76</v>
      </c>
      <c r="M141" s="12"/>
      <c r="N141" s="12"/>
    </row>
    <row r="142" spans="2:16" x14ac:dyDescent="0.25">
      <c r="B142" s="12">
        <f>MEDIAN(B4:B103)</f>
        <v>118025.5</v>
      </c>
      <c r="C142" s="12" t="s">
        <v>45</v>
      </c>
      <c r="D142" s="12"/>
      <c r="G142" s="1">
        <v>64353</v>
      </c>
      <c r="H142">
        <f t="shared" si="2"/>
        <v>-44968.509999999995</v>
      </c>
      <c r="I142">
        <f t="shared" si="3"/>
        <v>2022166891.6200995</v>
      </c>
      <c r="L142">
        <f>QUARTILE(C4:C103,1)</f>
        <v>13.5</v>
      </c>
      <c r="M142" t="s">
        <v>77</v>
      </c>
    </row>
    <row r="143" spans="2:16" x14ac:dyDescent="0.25">
      <c r="B143" s="12">
        <f>MEDIAN(C4:C103)</f>
        <v>24</v>
      </c>
      <c r="C143" s="12" t="s">
        <v>46</v>
      </c>
      <c r="D143" s="12"/>
      <c r="G143" s="1">
        <v>77733</v>
      </c>
      <c r="H143">
        <f t="shared" si="2"/>
        <v>-31588.509999999995</v>
      </c>
      <c r="I143">
        <f t="shared" si="3"/>
        <v>997833964.02009964</v>
      </c>
      <c r="L143">
        <f>QUARTILE(C4:C103,2)</f>
        <v>24</v>
      </c>
      <c r="M143" t="s">
        <v>78</v>
      </c>
      <c r="N143">
        <f>MEDIAN(C4:C103)</f>
        <v>24</v>
      </c>
    </row>
    <row r="144" spans="2:16" x14ac:dyDescent="0.25">
      <c r="B144" s="13">
        <f>MEDIAN(D4:D103)</f>
        <v>3.18374259882739</v>
      </c>
      <c r="C144" s="12" t="s">
        <v>47</v>
      </c>
      <c r="D144" s="12"/>
      <c r="G144" s="1">
        <v>90318</v>
      </c>
      <c r="H144">
        <f t="shared" si="2"/>
        <v>-19003.509999999995</v>
      </c>
      <c r="I144">
        <f t="shared" si="3"/>
        <v>361133392.32009983</v>
      </c>
      <c r="L144">
        <f>QUARTILE(C4:C103,3)</f>
        <v>35</v>
      </c>
      <c r="M144" t="s">
        <v>79</v>
      </c>
    </row>
    <row r="145" spans="2:17" x14ac:dyDescent="0.25">
      <c r="B145" s="12">
        <f>MEDIAN(E4:E103)</f>
        <v>10</v>
      </c>
      <c r="C145" s="12" t="s">
        <v>48</v>
      </c>
      <c r="D145" s="12"/>
      <c r="G145" s="1">
        <v>179736</v>
      </c>
      <c r="H145">
        <f t="shared" si="2"/>
        <v>70414.490000000005</v>
      </c>
      <c r="I145">
        <f t="shared" si="3"/>
        <v>4958200401.9601011</v>
      </c>
    </row>
    <row r="146" spans="2:17" x14ac:dyDescent="0.25">
      <c r="G146" s="1">
        <v>92172</v>
      </c>
      <c r="H146">
        <f t="shared" si="2"/>
        <v>-17149.509999999995</v>
      </c>
      <c r="I146">
        <f t="shared" si="3"/>
        <v>294105693.24009985</v>
      </c>
      <c r="L146" s="21">
        <f>L144-L142</f>
        <v>21.5</v>
      </c>
      <c r="M146" s="21" t="s">
        <v>80</v>
      </c>
      <c r="N146" s="21"/>
      <c r="O146" s="21"/>
    </row>
    <row r="147" spans="2:17" x14ac:dyDescent="0.25">
      <c r="B147" s="12">
        <f>QUARTILE(I8:I50,1)</f>
        <v>30</v>
      </c>
      <c r="C147" s="12" t="s">
        <v>49</v>
      </c>
      <c r="D147" s="12"/>
      <c r="G147" s="1">
        <v>118264</v>
      </c>
      <c r="H147">
        <f t="shared" si="2"/>
        <v>8942.4900000000052</v>
      </c>
      <c r="I147">
        <f t="shared" si="3"/>
        <v>79968127.400100097</v>
      </c>
    </row>
    <row r="148" spans="2:17" x14ac:dyDescent="0.25">
      <c r="B148" s="12">
        <f>QUARTILE(I8:I50,3)</f>
        <v>52.5</v>
      </c>
      <c r="C148" s="12" t="s">
        <v>50</v>
      </c>
      <c r="D148" s="12"/>
      <c r="G148" s="1">
        <v>51736</v>
      </c>
      <c r="H148">
        <f t="shared" si="2"/>
        <v>-57585.509999999995</v>
      </c>
      <c r="I148">
        <f t="shared" si="3"/>
        <v>3316090961.9600992</v>
      </c>
    </row>
    <row r="149" spans="2:17" x14ac:dyDescent="0.25">
      <c r="B149" s="12">
        <v>41</v>
      </c>
      <c r="C149" s="12" t="s">
        <v>51</v>
      </c>
      <c r="D149" s="12"/>
      <c r="G149" s="1">
        <v>137859</v>
      </c>
      <c r="H149">
        <f t="shared" si="2"/>
        <v>28537.490000000005</v>
      </c>
      <c r="I149">
        <f t="shared" si="3"/>
        <v>814388335.50010026</v>
      </c>
      <c r="L149" s="12" t="s">
        <v>81</v>
      </c>
      <c r="M149" s="12"/>
      <c r="N149" s="12"/>
      <c r="O149" s="12"/>
      <c r="P149" s="12"/>
    </row>
    <row r="150" spans="2:17" ht="15.75" thickBot="1" x14ac:dyDescent="0.3">
      <c r="B150" s="12"/>
      <c r="C150" s="12"/>
      <c r="D150" s="12"/>
      <c r="G150" s="1">
        <v>137181</v>
      </c>
      <c r="H150">
        <f t="shared" si="2"/>
        <v>27859.490000000005</v>
      </c>
      <c r="I150">
        <f t="shared" si="3"/>
        <v>776151183.06010032</v>
      </c>
    </row>
    <row r="151" spans="2:17" x14ac:dyDescent="0.25">
      <c r="G151" s="1">
        <v>156926</v>
      </c>
      <c r="H151">
        <f t="shared" si="2"/>
        <v>47604.490000000005</v>
      </c>
      <c r="I151">
        <f t="shared" si="3"/>
        <v>2266187468.1601005</v>
      </c>
      <c r="L151" s="16"/>
      <c r="M151" s="16" t="s">
        <v>0</v>
      </c>
      <c r="N151" s="16" t="s">
        <v>1</v>
      </c>
      <c r="O151" s="16" t="s">
        <v>2</v>
      </c>
      <c r="P151" s="16" t="s">
        <v>3</v>
      </c>
      <c r="Q151" s="16" t="s">
        <v>4</v>
      </c>
    </row>
    <row r="152" spans="2:17" x14ac:dyDescent="0.25">
      <c r="B152" s="12">
        <f>QUARTILE(B4:B103,1)</f>
        <v>73576.75</v>
      </c>
      <c r="C152" s="12" t="s">
        <v>52</v>
      </c>
      <c r="D152" s="12"/>
      <c r="G152" s="1">
        <v>115084</v>
      </c>
      <c r="H152">
        <f t="shared" si="2"/>
        <v>5762.4900000000052</v>
      </c>
      <c r="I152">
        <f t="shared" si="3"/>
        <v>33206291.000100061</v>
      </c>
      <c r="L152" s="14" t="s">
        <v>0</v>
      </c>
      <c r="M152" s="14">
        <v>1</v>
      </c>
      <c r="N152" s="14"/>
      <c r="O152" s="14"/>
      <c r="P152" s="14"/>
      <c r="Q152" s="14"/>
    </row>
    <row r="153" spans="2:17" x14ac:dyDescent="0.25">
      <c r="B153" s="12">
        <f>MEDIAN(B4:B103)</f>
        <v>118025.5</v>
      </c>
      <c r="C153" s="12" t="s">
        <v>53</v>
      </c>
      <c r="D153" s="12"/>
      <c r="G153" s="1">
        <v>32392</v>
      </c>
      <c r="H153">
        <f t="shared" si="2"/>
        <v>-76929.509999999995</v>
      </c>
      <c r="I153">
        <f t="shared" si="3"/>
        <v>5918149508.8400993</v>
      </c>
      <c r="L153" s="14" t="s">
        <v>1</v>
      </c>
      <c r="M153" s="14">
        <v>8.4107455869938796E-3</v>
      </c>
      <c r="N153" s="14">
        <v>1</v>
      </c>
      <c r="O153" s="14"/>
      <c r="P153" s="14"/>
      <c r="Q153" s="14"/>
    </row>
    <row r="154" spans="2:17" x14ac:dyDescent="0.25">
      <c r="B154" s="12">
        <f>QUARTILE(B4:B103,3)</f>
        <v>147727.75</v>
      </c>
      <c r="C154" s="12" t="s">
        <v>54</v>
      </c>
      <c r="D154" s="12"/>
      <c r="G154" s="1">
        <v>80680</v>
      </c>
      <c r="H154">
        <f t="shared" si="2"/>
        <v>-28641.509999999995</v>
      </c>
      <c r="I154">
        <f t="shared" si="3"/>
        <v>820336095.0800997</v>
      </c>
      <c r="L154" s="14" t="s">
        <v>2</v>
      </c>
      <c r="M154" s="14">
        <v>7.5972976956311236E-2</v>
      </c>
      <c r="N154" s="14">
        <v>-1.5562351235101841E-3</v>
      </c>
      <c r="O154" s="14">
        <v>1</v>
      </c>
      <c r="P154" s="14"/>
      <c r="Q154" s="14"/>
    </row>
    <row r="155" spans="2:17" x14ac:dyDescent="0.25">
      <c r="G155" s="1">
        <v>75859</v>
      </c>
      <c r="H155">
        <f>G155-$G$56</f>
        <v>-33462.509999999995</v>
      </c>
      <c r="I155">
        <f t="shared" si="3"/>
        <v>1119739575.5000997</v>
      </c>
      <c r="L155" s="14" t="s">
        <v>3</v>
      </c>
      <c r="M155" s="14">
        <v>-0.13426399318651563</v>
      </c>
      <c r="N155" s="14">
        <v>-0.16429646341884679</v>
      </c>
      <c r="O155" s="14">
        <v>2.4925181823867867E-2</v>
      </c>
      <c r="P155" s="14">
        <v>1</v>
      </c>
      <c r="Q155" s="14"/>
    </row>
    <row r="156" spans="2:17" ht="15.75" thickBot="1" x14ac:dyDescent="0.3">
      <c r="B156" s="12">
        <f>QUARTILE(C4:C103,1)</f>
        <v>13.5</v>
      </c>
      <c r="C156" s="12" t="s">
        <v>55</v>
      </c>
      <c r="D156" s="12"/>
      <c r="G156" s="1">
        <v>150657</v>
      </c>
      <c r="H156">
        <f t="shared" si="2"/>
        <v>41335.490000000005</v>
      </c>
      <c r="I156">
        <f t="shared" si="3"/>
        <v>1708622733.5401003</v>
      </c>
      <c r="L156" s="15" t="s">
        <v>4</v>
      </c>
      <c r="M156" s="15">
        <v>0.13551815333191397</v>
      </c>
      <c r="N156" s="15">
        <v>-7.8238758975678377E-2</v>
      </c>
      <c r="O156" s="15">
        <v>-0.16184622628463602</v>
      </c>
      <c r="P156" s="15">
        <v>8.8200793739324865E-2</v>
      </c>
      <c r="Q156" s="15">
        <v>1</v>
      </c>
    </row>
    <row r="157" spans="2:17" x14ac:dyDescent="0.25">
      <c r="B157" s="12">
        <f>QUARTILE(C4:C103,2)</f>
        <v>24</v>
      </c>
      <c r="C157" s="12" t="s">
        <v>56</v>
      </c>
      <c r="D157" s="12"/>
      <c r="G157" s="1">
        <v>95467</v>
      </c>
      <c r="H157">
        <f t="shared" si="2"/>
        <v>-13854.509999999995</v>
      </c>
      <c r="I157">
        <f t="shared" si="3"/>
        <v>191947447.34009984</v>
      </c>
    </row>
    <row r="158" spans="2:17" x14ac:dyDescent="0.25">
      <c r="B158" s="12">
        <f>QUARTILE(C4:C103,3)</f>
        <v>35</v>
      </c>
      <c r="C158" s="12" t="s">
        <v>57</v>
      </c>
      <c r="D158" s="12"/>
      <c r="G158" s="1">
        <v>123506</v>
      </c>
      <c r="H158">
        <f t="shared" si="2"/>
        <v>14184.490000000005</v>
      </c>
      <c r="I158">
        <f t="shared" si="3"/>
        <v>201199756.56010014</v>
      </c>
    </row>
    <row r="159" spans="2:17" x14ac:dyDescent="0.25">
      <c r="H159" s="12" t="s">
        <v>15</v>
      </c>
      <c r="I159" s="19">
        <f>SUM(I59:I158)</f>
        <v>195323672880.9899</v>
      </c>
      <c r="L159" s="23" t="s">
        <v>82</v>
      </c>
      <c r="M159" s="12"/>
      <c r="N159" s="12"/>
    </row>
    <row r="160" spans="2:17" x14ac:dyDescent="0.25">
      <c r="B160" s="13">
        <f>QUARTILE(D4:D103,1)</f>
        <v>2.1673167849217601</v>
      </c>
      <c r="C160" s="12" t="s">
        <v>58</v>
      </c>
      <c r="D160" s="12"/>
    </row>
    <row r="161" spans="2:16" x14ac:dyDescent="0.25">
      <c r="B161" s="13">
        <f>MEDIAN(D4:D103)</f>
        <v>3.18374259882739</v>
      </c>
      <c r="C161" s="12" t="s">
        <v>60</v>
      </c>
      <c r="D161" s="12"/>
      <c r="H161" s="12" t="s">
        <v>16</v>
      </c>
      <c r="I161" s="19">
        <f>I159/(100-1)</f>
        <v>1972966392.7372718</v>
      </c>
      <c r="L161">
        <f>MAX(I8:I50)</f>
        <v>64</v>
      </c>
      <c r="M161" t="s">
        <v>34</v>
      </c>
      <c r="O161">
        <f>MAX(B4:B103)</f>
        <v>179736</v>
      </c>
      <c r="P161" t="s">
        <v>35</v>
      </c>
    </row>
    <row r="162" spans="2:16" x14ac:dyDescent="0.25">
      <c r="B162" s="13">
        <f>QUARTILE(D4:D103,3)</f>
        <v>4.1813512537422071</v>
      </c>
      <c r="C162" s="12" t="s">
        <v>59</v>
      </c>
      <c r="D162" s="12"/>
      <c r="L162">
        <f>MIN(I8:I50)</f>
        <v>18</v>
      </c>
      <c r="M162" t="s">
        <v>29</v>
      </c>
      <c r="O162">
        <f>MIN(B4:B103)</f>
        <v>27693</v>
      </c>
      <c r="P162" t="s">
        <v>30</v>
      </c>
    </row>
    <row r="163" spans="2:16" x14ac:dyDescent="0.25">
      <c r="H163" s="12" t="s">
        <v>17</v>
      </c>
      <c r="I163" s="13">
        <f>SQRT(I161)</f>
        <v>44418.086324573596</v>
      </c>
      <c r="L163" s="21" t="s">
        <v>84</v>
      </c>
      <c r="M163" s="21">
        <f>L161-L162</f>
        <v>46</v>
      </c>
      <c r="O163" s="21" t="s">
        <v>83</v>
      </c>
      <c r="P163" s="21">
        <f>O161-O162</f>
        <v>152043</v>
      </c>
    </row>
    <row r="164" spans="2:16" x14ac:dyDescent="0.25">
      <c r="B164" s="12">
        <f>QUARTILE(E4:E103,1)</f>
        <v>4.75</v>
      </c>
      <c r="C164" s="12" t="s">
        <v>61</v>
      </c>
      <c r="D164" s="12"/>
    </row>
    <row r="165" spans="2:16" x14ac:dyDescent="0.25">
      <c r="B165" s="12">
        <f>QUARTILE(E4:E103,2)</f>
        <v>10</v>
      </c>
      <c r="C165" s="12" t="s">
        <v>62</v>
      </c>
      <c r="D165" s="12"/>
    </row>
    <row r="166" spans="2:16" x14ac:dyDescent="0.25">
      <c r="B166" s="12">
        <f>QUARTILE(E4:E103,3)</f>
        <v>16</v>
      </c>
      <c r="C166" s="12" t="s">
        <v>63</v>
      </c>
      <c r="D166" s="12"/>
    </row>
    <row r="168" spans="2:16" x14ac:dyDescent="0.25">
      <c r="H168" s="12" t="s">
        <v>85</v>
      </c>
      <c r="I168" s="12"/>
      <c r="J168" s="12"/>
    </row>
    <row r="170" spans="2:16" x14ac:dyDescent="0.25">
      <c r="H170" s="25">
        <f>_xlfn.COVARIANCE.S(B4:B103,E4:E103)</f>
        <v>-20227.181414141414</v>
      </c>
      <c r="I170" s="3" t="s">
        <v>86</v>
      </c>
    </row>
    <row r="171" spans="2:16" x14ac:dyDescent="0.25">
      <c r="B171" s="12" t="s">
        <v>87</v>
      </c>
      <c r="C171" s="12"/>
      <c r="D171" s="12"/>
      <c r="H171" s="24"/>
      <c r="I171" s="24"/>
    </row>
    <row r="172" spans="2:16" x14ac:dyDescent="0.25">
      <c r="B172" s="12" t="s">
        <v>88</v>
      </c>
      <c r="C172" s="12"/>
      <c r="D172" s="12"/>
      <c r="H172" s="14"/>
      <c r="I172" s="14"/>
    </row>
    <row r="173" spans="2:16" x14ac:dyDescent="0.25">
      <c r="B173" s="18">
        <f>SKEW(B4:B103)</f>
        <v>-0.25307872181127566</v>
      </c>
      <c r="C173" t="s">
        <v>89</v>
      </c>
      <c r="D173" s="21" t="s">
        <v>91</v>
      </c>
      <c r="E173" s="21"/>
    </row>
    <row r="175" spans="2:16" x14ac:dyDescent="0.25">
      <c r="B175" s="18">
        <f>KURT(B4:B103)</f>
        <v>-1.2236234886974053</v>
      </c>
      <c r="C175" t="s">
        <v>90</v>
      </c>
      <c r="D175" s="21" t="s">
        <v>92</v>
      </c>
    </row>
    <row r="177" spans="2:15" ht="15.75" x14ac:dyDescent="0.3">
      <c r="B177" t="s">
        <v>93</v>
      </c>
    </row>
    <row r="179" spans="2:15" x14ac:dyDescent="0.25">
      <c r="B179" t="s">
        <v>94</v>
      </c>
    </row>
    <row r="181" spans="2:15" x14ac:dyDescent="0.25">
      <c r="B181" s="26" t="s">
        <v>95</v>
      </c>
      <c r="C181" s="26"/>
      <c r="D181" s="26"/>
    </row>
    <row r="182" spans="2:15" x14ac:dyDescent="0.25">
      <c r="I182" s="12" t="s">
        <v>96</v>
      </c>
      <c r="J182" s="12"/>
      <c r="K182" s="12"/>
      <c r="L182" s="12"/>
      <c r="M182" s="12"/>
      <c r="N182" s="12"/>
      <c r="O182" s="12"/>
    </row>
  </sheetData>
  <sortState xmlns:xlrd2="http://schemas.microsoft.com/office/spreadsheetml/2017/richdata2" ref="A4:A103">
    <sortCondition ref="A4:A103"/>
  </sortState>
  <conditionalFormatting sqref="L1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51:Q156 L1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D89B2-0EDB-41CA-B602-C970DAB0EAC8}">
  <dimension ref="A1:D161"/>
  <sheetViews>
    <sheetView workbookViewId="0">
      <selection activeCell="D158" sqref="D158"/>
    </sheetView>
  </sheetViews>
  <sheetFormatPr defaultRowHeight="15" x14ac:dyDescent="0.25"/>
  <cols>
    <col min="1" max="1" width="13.140625" bestFit="1" customWidth="1"/>
    <col min="2" max="2" width="22.28515625" bestFit="1" customWidth="1"/>
    <col min="3" max="3" width="12.85546875" bestFit="1" customWidth="1"/>
    <col min="4" max="4" width="16.42578125" bestFit="1" customWidth="1"/>
    <col min="5" max="5" width="9" bestFit="1" customWidth="1"/>
    <col min="6" max="6" width="12" bestFit="1" customWidth="1"/>
    <col min="7" max="7" width="11.28515625" bestFit="1" customWidth="1"/>
    <col min="8" max="8" width="12" bestFit="1" customWidth="1"/>
    <col min="9" max="10" width="7" bestFit="1" customWidth="1"/>
    <col min="11" max="11" width="8" bestFit="1" customWidth="1"/>
    <col min="12" max="12" width="6" bestFit="1" customWidth="1"/>
    <col min="13" max="13" width="9" bestFit="1" customWidth="1"/>
    <col min="14" max="14" width="10" bestFit="1" customWidth="1"/>
    <col min="15" max="16" width="7" bestFit="1" customWidth="1"/>
    <col min="17" max="17" width="12" bestFit="1" customWidth="1"/>
    <col min="18" max="19" width="7" bestFit="1" customWidth="1"/>
    <col min="20" max="20" width="10" bestFit="1" customWidth="1"/>
    <col min="21" max="22" width="7" bestFit="1" customWidth="1"/>
    <col min="23" max="23" width="8" bestFit="1" customWidth="1"/>
    <col min="24" max="24" width="9" bestFit="1" customWidth="1"/>
    <col min="25" max="25" width="12" bestFit="1" customWidth="1"/>
    <col min="26" max="26" width="7" bestFit="1" customWidth="1"/>
    <col min="27" max="27" width="9" bestFit="1" customWidth="1"/>
    <col min="28" max="28" width="12" bestFit="1" customWidth="1"/>
    <col min="29" max="30" width="7" bestFit="1" customWidth="1"/>
    <col min="31" max="31" width="6" bestFit="1" customWidth="1"/>
    <col min="32" max="32" width="7" bestFit="1" customWidth="1"/>
    <col min="33" max="33" width="6" bestFit="1" customWidth="1"/>
    <col min="34" max="34" width="12" bestFit="1" customWidth="1"/>
    <col min="35" max="35" width="6" bestFit="1" customWidth="1"/>
    <col min="36" max="38" width="7" bestFit="1" customWidth="1"/>
    <col min="39" max="39" width="6" bestFit="1" customWidth="1"/>
    <col min="40" max="40" width="8" bestFit="1" customWidth="1"/>
    <col min="41" max="41" width="7" bestFit="1" customWidth="1"/>
    <col min="42" max="42" width="12" bestFit="1" customWidth="1"/>
    <col min="43" max="43" width="6" bestFit="1" customWidth="1"/>
    <col min="44" max="44" width="10" bestFit="1" customWidth="1"/>
    <col min="45" max="45" width="11.28515625" bestFit="1" customWidth="1"/>
  </cols>
  <sheetData>
    <row r="1" spans="1:2" x14ac:dyDescent="0.25">
      <c r="A1" t="s">
        <v>97</v>
      </c>
    </row>
    <row r="3" spans="1:2" x14ac:dyDescent="0.25">
      <c r="A3" s="28" t="s">
        <v>105</v>
      </c>
      <c r="B3" t="s">
        <v>98</v>
      </c>
    </row>
    <row r="4" spans="1:2" x14ac:dyDescent="0.25">
      <c r="A4" s="29" t="s">
        <v>100</v>
      </c>
      <c r="B4" s="18">
        <v>96707.272727272721</v>
      </c>
    </row>
    <row r="5" spans="1:2" x14ac:dyDescent="0.25">
      <c r="A5" s="29" t="s">
        <v>101</v>
      </c>
      <c r="B5" s="18">
        <v>123221.63157894737</v>
      </c>
    </row>
    <row r="6" spans="1:2" x14ac:dyDescent="0.25">
      <c r="A6" s="29" t="s">
        <v>102</v>
      </c>
      <c r="B6" s="18">
        <v>114661.5925925926</v>
      </c>
    </row>
    <row r="7" spans="1:2" x14ac:dyDescent="0.25">
      <c r="A7" s="29" t="s">
        <v>103</v>
      </c>
      <c r="B7" s="27">
        <v>105839.6</v>
      </c>
    </row>
    <row r="8" spans="1:2" x14ac:dyDescent="0.25">
      <c r="A8" s="29" t="s">
        <v>104</v>
      </c>
      <c r="B8" s="18">
        <v>104701.35294117648</v>
      </c>
    </row>
    <row r="9" spans="1:2" x14ac:dyDescent="0.25">
      <c r="A9" s="29" t="s">
        <v>99</v>
      </c>
      <c r="B9" s="27">
        <v>109321.51</v>
      </c>
    </row>
    <row r="12" spans="1:2" x14ac:dyDescent="0.25">
      <c r="A12" s="29" t="s">
        <v>106</v>
      </c>
    </row>
    <row r="14" spans="1:2" x14ac:dyDescent="0.25">
      <c r="A14" s="28" t="s">
        <v>105</v>
      </c>
      <c r="B14" t="s">
        <v>107</v>
      </c>
    </row>
    <row r="15" spans="1:2" x14ac:dyDescent="0.25">
      <c r="A15" s="30">
        <v>1.0618264661154599</v>
      </c>
      <c r="B15" s="27">
        <v>26</v>
      </c>
    </row>
    <row r="16" spans="1:2" x14ac:dyDescent="0.25">
      <c r="A16" s="30">
        <v>1.09726386572581</v>
      </c>
      <c r="B16" s="27">
        <v>6</v>
      </c>
    </row>
    <row r="17" spans="1:2" x14ac:dyDescent="0.25">
      <c r="A17" s="30">
        <v>1.10140297366183</v>
      </c>
      <c r="B17" s="27">
        <v>14</v>
      </c>
    </row>
    <row r="18" spans="1:2" x14ac:dyDescent="0.25">
      <c r="A18" s="30">
        <v>1.1220009997561899</v>
      </c>
      <c r="B18" s="27">
        <v>8</v>
      </c>
    </row>
    <row r="19" spans="1:2" x14ac:dyDescent="0.25">
      <c r="A19" s="30">
        <v>1.1437690951869599</v>
      </c>
      <c r="B19" s="27">
        <v>24</v>
      </c>
    </row>
    <row r="20" spans="1:2" x14ac:dyDescent="0.25">
      <c r="A20" s="30">
        <v>1.1493927549968499</v>
      </c>
      <c r="B20" s="27">
        <v>36</v>
      </c>
    </row>
    <row r="21" spans="1:2" x14ac:dyDescent="0.25">
      <c r="A21" s="30">
        <v>1.2067268846744299</v>
      </c>
      <c r="B21" s="27">
        <v>29</v>
      </c>
    </row>
    <row r="22" spans="1:2" x14ac:dyDescent="0.25">
      <c r="A22" s="30">
        <v>1.3138255253690601</v>
      </c>
      <c r="B22" s="27">
        <v>33</v>
      </c>
    </row>
    <row r="23" spans="1:2" x14ac:dyDescent="0.25">
      <c r="A23" s="30">
        <v>1.34138985997507</v>
      </c>
      <c r="B23" s="27">
        <v>25</v>
      </c>
    </row>
    <row r="24" spans="1:2" x14ac:dyDescent="0.25">
      <c r="A24" s="30">
        <v>1.37592775936347</v>
      </c>
      <c r="B24" s="27">
        <v>3</v>
      </c>
    </row>
    <row r="25" spans="1:2" x14ac:dyDescent="0.25">
      <c r="A25" s="30">
        <v>1.3887059750830699</v>
      </c>
      <c r="B25" s="27">
        <v>25</v>
      </c>
    </row>
    <row r="26" spans="1:2" x14ac:dyDescent="0.25">
      <c r="A26" s="30">
        <v>1.50824205060753</v>
      </c>
      <c r="B26" s="27">
        <v>20</v>
      </c>
    </row>
    <row r="27" spans="1:2" x14ac:dyDescent="0.25">
      <c r="A27" s="30">
        <v>1.5603360609460899</v>
      </c>
      <c r="B27" s="27">
        <v>30</v>
      </c>
    </row>
    <row r="28" spans="1:2" x14ac:dyDescent="0.25">
      <c r="A28" s="30">
        <v>1.62574817068434</v>
      </c>
      <c r="B28" s="27">
        <v>3</v>
      </c>
    </row>
    <row r="29" spans="1:2" x14ac:dyDescent="0.25">
      <c r="A29" s="30">
        <v>1.67797098674437</v>
      </c>
      <c r="B29" s="27">
        <v>18</v>
      </c>
    </row>
    <row r="30" spans="1:2" x14ac:dyDescent="0.25">
      <c r="A30" s="30">
        <v>1.69317728028338</v>
      </c>
      <c r="B30" s="27">
        <v>7</v>
      </c>
    </row>
    <row r="31" spans="1:2" x14ac:dyDescent="0.25">
      <c r="A31" s="30">
        <v>1.70844271762819</v>
      </c>
      <c r="B31" s="27">
        <v>29</v>
      </c>
    </row>
    <row r="32" spans="1:2" x14ac:dyDescent="0.25">
      <c r="A32" s="30">
        <v>1.78097195119217</v>
      </c>
      <c r="B32" s="27">
        <v>16</v>
      </c>
    </row>
    <row r="33" spans="1:2" x14ac:dyDescent="0.25">
      <c r="A33" s="30">
        <v>1.86328410998737</v>
      </c>
      <c r="B33" s="27">
        <v>25</v>
      </c>
    </row>
    <row r="34" spans="1:2" x14ac:dyDescent="0.25">
      <c r="A34" s="30">
        <v>1.9759585735163301</v>
      </c>
      <c r="B34" s="27">
        <v>17</v>
      </c>
    </row>
    <row r="35" spans="1:2" x14ac:dyDescent="0.25">
      <c r="A35" s="30">
        <v>2.00097159265838</v>
      </c>
      <c r="B35" s="27">
        <v>17</v>
      </c>
    </row>
    <row r="36" spans="1:2" x14ac:dyDescent="0.25">
      <c r="A36" s="30">
        <v>2.0833290050482902</v>
      </c>
      <c r="B36" s="27">
        <v>33</v>
      </c>
    </row>
    <row r="37" spans="1:2" x14ac:dyDescent="0.25">
      <c r="A37" s="30">
        <v>2.11973558778377</v>
      </c>
      <c r="B37" s="27">
        <v>22</v>
      </c>
    </row>
    <row r="38" spans="1:2" x14ac:dyDescent="0.25">
      <c r="A38" s="30">
        <v>2.1230894497634201</v>
      </c>
      <c r="B38" s="27">
        <v>9</v>
      </c>
    </row>
    <row r="39" spans="1:2" x14ac:dyDescent="0.25">
      <c r="A39" s="30">
        <v>2.1461650085131301</v>
      </c>
      <c r="B39" s="27">
        <v>11</v>
      </c>
    </row>
    <row r="40" spans="1:2" x14ac:dyDescent="0.25">
      <c r="A40" s="30">
        <v>2.1743673770579699</v>
      </c>
      <c r="B40" s="27">
        <v>49</v>
      </c>
    </row>
    <row r="41" spans="1:2" x14ac:dyDescent="0.25">
      <c r="A41" s="30">
        <v>2.1777955682783401</v>
      </c>
      <c r="B41" s="27">
        <v>41</v>
      </c>
    </row>
    <row r="42" spans="1:2" x14ac:dyDescent="0.25">
      <c r="A42" s="30">
        <v>2.2676880206251102</v>
      </c>
      <c r="B42" s="27">
        <v>39</v>
      </c>
    </row>
    <row r="43" spans="1:2" x14ac:dyDescent="0.25">
      <c r="A43" s="30">
        <v>2.2918258917649799</v>
      </c>
      <c r="B43" s="27">
        <v>41</v>
      </c>
    </row>
    <row r="44" spans="1:2" x14ac:dyDescent="0.25">
      <c r="A44" s="30">
        <v>2.3519806274061401</v>
      </c>
      <c r="B44" s="27">
        <v>48</v>
      </c>
    </row>
    <row r="45" spans="1:2" x14ac:dyDescent="0.25">
      <c r="A45" s="30">
        <v>2.4379646048790198</v>
      </c>
      <c r="B45" s="27">
        <v>48</v>
      </c>
    </row>
    <row r="46" spans="1:2" x14ac:dyDescent="0.25">
      <c r="A46" s="30">
        <v>2.4407625656450498</v>
      </c>
      <c r="B46" s="27">
        <v>40</v>
      </c>
    </row>
    <row r="47" spans="1:2" x14ac:dyDescent="0.25">
      <c r="A47" s="30">
        <v>2.48063480102177</v>
      </c>
      <c r="B47" s="27">
        <v>19</v>
      </c>
    </row>
    <row r="48" spans="1:2" x14ac:dyDescent="0.25">
      <c r="A48" s="30">
        <v>2.5023318105597698</v>
      </c>
      <c r="B48" s="27">
        <v>16</v>
      </c>
    </row>
    <row r="49" spans="1:2" x14ac:dyDescent="0.25">
      <c r="A49" s="30">
        <v>2.5403909144077002</v>
      </c>
      <c r="B49" s="27">
        <v>33</v>
      </c>
    </row>
    <row r="50" spans="1:2" x14ac:dyDescent="0.25">
      <c r="A50" s="30">
        <v>2.5723908986670398</v>
      </c>
      <c r="B50" s="27">
        <v>24</v>
      </c>
    </row>
    <row r="51" spans="1:2" x14ac:dyDescent="0.25">
      <c r="A51" s="30">
        <v>2.6358117776570702</v>
      </c>
      <c r="B51" s="27">
        <v>8</v>
      </c>
    </row>
    <row r="52" spans="1:2" x14ac:dyDescent="0.25">
      <c r="A52" s="30">
        <v>2.7127365932692502</v>
      </c>
      <c r="B52" s="27">
        <v>19</v>
      </c>
    </row>
    <row r="53" spans="1:2" x14ac:dyDescent="0.25">
      <c r="A53" s="30">
        <v>2.75588568282254</v>
      </c>
      <c r="B53" s="27">
        <v>4</v>
      </c>
    </row>
    <row r="54" spans="1:2" x14ac:dyDescent="0.25">
      <c r="A54" s="30">
        <v>2.8623920725298402</v>
      </c>
      <c r="B54" s="27">
        <v>33</v>
      </c>
    </row>
    <row r="55" spans="1:2" x14ac:dyDescent="0.25">
      <c r="A55" s="30">
        <v>2.9700707752754498</v>
      </c>
      <c r="B55" s="27">
        <v>48</v>
      </c>
    </row>
    <row r="56" spans="1:2" x14ac:dyDescent="0.25">
      <c r="A56" s="30">
        <v>3.00606517874879</v>
      </c>
      <c r="B56" s="27">
        <v>37</v>
      </c>
    </row>
    <row r="57" spans="1:2" x14ac:dyDescent="0.25">
      <c r="A57" s="30">
        <v>3.01054837242076</v>
      </c>
      <c r="B57" s="27">
        <v>22</v>
      </c>
    </row>
    <row r="58" spans="1:2" x14ac:dyDescent="0.25">
      <c r="A58" s="30">
        <v>3.0453695954437499</v>
      </c>
      <c r="B58" s="27">
        <v>5</v>
      </c>
    </row>
    <row r="59" spans="1:2" x14ac:dyDescent="0.25">
      <c r="A59" s="30">
        <v>3.0652013932047799</v>
      </c>
      <c r="B59" s="27">
        <v>16</v>
      </c>
    </row>
    <row r="60" spans="1:2" x14ac:dyDescent="0.25">
      <c r="A60" s="30">
        <v>3.0733186094549398</v>
      </c>
      <c r="B60" s="27">
        <v>42</v>
      </c>
    </row>
    <row r="61" spans="1:2" x14ac:dyDescent="0.25">
      <c r="A61" s="30">
        <v>3.0889730402192099</v>
      </c>
      <c r="B61" s="27">
        <v>35</v>
      </c>
    </row>
    <row r="62" spans="1:2" x14ac:dyDescent="0.25">
      <c r="A62" s="30">
        <v>3.1254185262725902</v>
      </c>
      <c r="B62" s="27">
        <v>18</v>
      </c>
    </row>
    <row r="63" spans="1:2" x14ac:dyDescent="0.25">
      <c r="A63" s="30">
        <v>3.1625404864404199</v>
      </c>
      <c r="B63" s="27">
        <v>46</v>
      </c>
    </row>
    <row r="64" spans="1:2" x14ac:dyDescent="0.25">
      <c r="A64" s="30">
        <v>3.1705785388302998</v>
      </c>
      <c r="B64" s="27">
        <v>24</v>
      </c>
    </row>
    <row r="65" spans="1:2" x14ac:dyDescent="0.25">
      <c r="A65" s="30">
        <v>3.1969066588244801</v>
      </c>
      <c r="B65" s="27">
        <v>33</v>
      </c>
    </row>
    <row r="66" spans="1:2" x14ac:dyDescent="0.25">
      <c r="A66" s="30">
        <v>3.2272050498334002</v>
      </c>
      <c r="B66" s="27">
        <v>40</v>
      </c>
    </row>
    <row r="67" spans="1:2" x14ac:dyDescent="0.25">
      <c r="A67" s="30">
        <v>3.2802446803574599</v>
      </c>
      <c r="B67" s="27">
        <v>28</v>
      </c>
    </row>
    <row r="68" spans="1:2" x14ac:dyDescent="0.25">
      <c r="A68" s="30">
        <v>3.3076155385054302</v>
      </c>
      <c r="B68" s="27">
        <v>11</v>
      </c>
    </row>
    <row r="69" spans="1:2" x14ac:dyDescent="0.25">
      <c r="A69" s="30">
        <v>3.3131205639846901</v>
      </c>
      <c r="B69" s="27">
        <v>20</v>
      </c>
    </row>
    <row r="70" spans="1:2" x14ac:dyDescent="0.25">
      <c r="A70" s="30">
        <v>3.3633330422760399</v>
      </c>
      <c r="B70" s="27">
        <v>49</v>
      </c>
    </row>
    <row r="71" spans="1:2" x14ac:dyDescent="0.25">
      <c r="A71" s="30">
        <v>3.4600289067966701</v>
      </c>
      <c r="B71" s="27">
        <v>23</v>
      </c>
    </row>
    <row r="72" spans="1:2" x14ac:dyDescent="0.25">
      <c r="A72" s="30">
        <v>3.4915619032760001</v>
      </c>
      <c r="B72" s="27">
        <v>35</v>
      </c>
    </row>
    <row r="73" spans="1:2" x14ac:dyDescent="0.25">
      <c r="A73" s="30">
        <v>3.5245545039890498</v>
      </c>
      <c r="B73" s="27">
        <v>34</v>
      </c>
    </row>
    <row r="74" spans="1:2" x14ac:dyDescent="0.25">
      <c r="A74" s="30">
        <v>3.54971960599282</v>
      </c>
      <c r="B74" s="27">
        <v>18</v>
      </c>
    </row>
    <row r="75" spans="1:2" x14ac:dyDescent="0.25">
      <c r="A75" s="30">
        <v>3.5818891836286699</v>
      </c>
      <c r="B75" s="27">
        <v>16</v>
      </c>
    </row>
    <row r="76" spans="1:2" x14ac:dyDescent="0.25">
      <c r="A76" s="30">
        <v>3.5998557231110602</v>
      </c>
      <c r="B76" s="27">
        <v>9</v>
      </c>
    </row>
    <row r="77" spans="1:2" x14ac:dyDescent="0.25">
      <c r="A77" s="30">
        <v>3.6407895068709202</v>
      </c>
      <c r="B77" s="27">
        <v>12</v>
      </c>
    </row>
    <row r="78" spans="1:2" x14ac:dyDescent="0.25">
      <c r="A78" s="30">
        <v>3.7838968243747901</v>
      </c>
      <c r="B78" s="27">
        <v>20</v>
      </c>
    </row>
    <row r="79" spans="1:2" x14ac:dyDescent="0.25">
      <c r="A79" s="30">
        <v>3.7841191866998898</v>
      </c>
      <c r="B79" s="27">
        <v>11</v>
      </c>
    </row>
    <row r="80" spans="1:2" x14ac:dyDescent="0.25">
      <c r="A80" s="30">
        <v>3.7880629639810701</v>
      </c>
      <c r="B80" s="27">
        <v>16</v>
      </c>
    </row>
    <row r="81" spans="1:2" x14ac:dyDescent="0.25">
      <c r="A81" s="30">
        <v>3.8078675090308098</v>
      </c>
      <c r="B81" s="27">
        <v>41</v>
      </c>
    </row>
    <row r="82" spans="1:2" x14ac:dyDescent="0.25">
      <c r="A82" s="30">
        <v>3.80993633594843</v>
      </c>
      <c r="B82" s="27">
        <v>26</v>
      </c>
    </row>
    <row r="83" spans="1:2" x14ac:dyDescent="0.25">
      <c r="A83" s="30">
        <v>3.85838369080024</v>
      </c>
      <c r="B83" s="27">
        <v>48</v>
      </c>
    </row>
    <row r="84" spans="1:2" x14ac:dyDescent="0.25">
      <c r="A84" s="30">
        <v>3.88980846104602</v>
      </c>
      <c r="B84" s="27">
        <v>33</v>
      </c>
    </row>
    <row r="85" spans="1:2" x14ac:dyDescent="0.25">
      <c r="A85" s="30">
        <v>3.90436533489064</v>
      </c>
      <c r="B85" s="27">
        <v>2</v>
      </c>
    </row>
    <row r="86" spans="1:2" x14ac:dyDescent="0.25">
      <c r="A86" s="30">
        <v>3.9630744710168102</v>
      </c>
      <c r="B86" s="27">
        <v>7</v>
      </c>
    </row>
    <row r="87" spans="1:2" x14ac:dyDescent="0.25">
      <c r="A87" s="30">
        <v>4.0799742123944398</v>
      </c>
      <c r="B87" s="27">
        <v>48</v>
      </c>
    </row>
    <row r="88" spans="1:2" x14ac:dyDescent="0.25">
      <c r="A88" s="30">
        <v>4.1792452141665901</v>
      </c>
      <c r="B88" s="27">
        <v>6</v>
      </c>
    </row>
    <row r="89" spans="1:2" x14ac:dyDescent="0.25">
      <c r="A89" s="30">
        <v>4.1807447790748098</v>
      </c>
      <c r="B89" s="27">
        <v>36</v>
      </c>
    </row>
    <row r="90" spans="1:2" x14ac:dyDescent="0.25">
      <c r="A90" s="30">
        <v>4.1831706777443998</v>
      </c>
      <c r="B90" s="27">
        <v>35</v>
      </c>
    </row>
    <row r="91" spans="1:2" x14ac:dyDescent="0.25">
      <c r="A91" s="30">
        <v>4.1931807158670997</v>
      </c>
      <c r="B91" s="27">
        <v>32</v>
      </c>
    </row>
    <row r="92" spans="1:2" x14ac:dyDescent="0.25">
      <c r="A92" s="30">
        <v>4.23744462191405</v>
      </c>
      <c r="B92" s="27">
        <v>2</v>
      </c>
    </row>
    <row r="93" spans="1:2" x14ac:dyDescent="0.25">
      <c r="A93" s="30">
        <v>4.2404535787167204</v>
      </c>
      <c r="B93" s="27">
        <v>1</v>
      </c>
    </row>
    <row r="94" spans="1:2" x14ac:dyDescent="0.25">
      <c r="A94" s="30">
        <v>4.2904022426386303</v>
      </c>
      <c r="B94" s="27">
        <v>38</v>
      </c>
    </row>
    <row r="95" spans="1:2" x14ac:dyDescent="0.25">
      <c r="A95" s="30">
        <v>4.3439204820488202</v>
      </c>
      <c r="B95" s="27">
        <v>48</v>
      </c>
    </row>
    <row r="96" spans="1:2" x14ac:dyDescent="0.25">
      <c r="A96" s="30">
        <v>4.4045466860674196</v>
      </c>
      <c r="B96" s="27">
        <v>40</v>
      </c>
    </row>
    <row r="97" spans="1:2" x14ac:dyDescent="0.25">
      <c r="A97" s="30">
        <v>4.4120378218694398</v>
      </c>
      <c r="B97" s="27">
        <v>7</v>
      </c>
    </row>
    <row r="98" spans="1:2" x14ac:dyDescent="0.25">
      <c r="A98" s="30">
        <v>4.4682892743204103</v>
      </c>
      <c r="B98" s="27">
        <v>48</v>
      </c>
    </row>
    <row r="99" spans="1:2" x14ac:dyDescent="0.25">
      <c r="A99" s="30">
        <v>4.5094922877118204</v>
      </c>
      <c r="B99" s="27">
        <v>35</v>
      </c>
    </row>
    <row r="100" spans="1:2" x14ac:dyDescent="0.25">
      <c r="A100" s="30">
        <v>4.5600213672702603</v>
      </c>
      <c r="B100" s="27">
        <v>19</v>
      </c>
    </row>
    <row r="101" spans="1:2" x14ac:dyDescent="0.25">
      <c r="A101" s="30">
        <v>4.5681862207084496</v>
      </c>
      <c r="B101" s="27">
        <v>5</v>
      </c>
    </row>
    <row r="102" spans="1:2" x14ac:dyDescent="0.25">
      <c r="A102" s="30">
        <v>4.6529622102258799</v>
      </c>
      <c r="B102" s="27">
        <v>12</v>
      </c>
    </row>
    <row r="103" spans="1:2" x14ac:dyDescent="0.25">
      <c r="A103" s="30">
        <v>4.6594575608817896</v>
      </c>
      <c r="B103" s="27">
        <v>36</v>
      </c>
    </row>
    <row r="104" spans="1:2" x14ac:dyDescent="0.25">
      <c r="A104" s="30">
        <v>4.7132742503509002</v>
      </c>
      <c r="B104" s="27">
        <v>3</v>
      </c>
    </row>
    <row r="105" spans="1:2" x14ac:dyDescent="0.25">
      <c r="A105" s="30">
        <v>4.7446190966431203</v>
      </c>
      <c r="B105" s="27">
        <v>1</v>
      </c>
    </row>
    <row r="106" spans="1:2" x14ac:dyDescent="0.25">
      <c r="A106" s="30">
        <v>4.7618343374116501</v>
      </c>
      <c r="B106" s="27">
        <v>3</v>
      </c>
    </row>
    <row r="107" spans="1:2" x14ac:dyDescent="0.25">
      <c r="A107" s="30">
        <v>4.8157143080103397</v>
      </c>
      <c r="B107" s="27">
        <v>20</v>
      </c>
    </row>
    <row r="108" spans="1:2" x14ac:dyDescent="0.25">
      <c r="A108" s="30">
        <v>4.8194611226527702</v>
      </c>
      <c r="B108" s="27">
        <v>22</v>
      </c>
    </row>
    <row r="109" spans="1:2" x14ac:dyDescent="0.25">
      <c r="A109" s="30">
        <v>4.8505936587117002</v>
      </c>
      <c r="B109" s="27">
        <v>21</v>
      </c>
    </row>
    <row r="110" spans="1:2" x14ac:dyDescent="0.25">
      <c r="A110" s="30">
        <v>4.8544799083570096</v>
      </c>
      <c r="B110" s="27">
        <v>32</v>
      </c>
    </row>
    <row r="111" spans="1:2" x14ac:dyDescent="0.25">
      <c r="A111" s="30">
        <v>4.8666192761746698</v>
      </c>
      <c r="B111" s="27">
        <v>20</v>
      </c>
    </row>
    <row r="112" spans="1:2" x14ac:dyDescent="0.25">
      <c r="A112" s="30">
        <v>4.8920422190097801</v>
      </c>
      <c r="B112" s="27">
        <v>38</v>
      </c>
    </row>
    <row r="113" spans="1:2" x14ac:dyDescent="0.25">
      <c r="A113" s="30">
        <v>4.90340831785013</v>
      </c>
      <c r="B113" s="27">
        <v>35</v>
      </c>
    </row>
    <row r="114" spans="1:2" x14ac:dyDescent="0.25">
      <c r="A114" s="30">
        <v>4.9602154004170496</v>
      </c>
      <c r="B114" s="27">
        <v>31</v>
      </c>
    </row>
    <row r="115" spans="1:2" x14ac:dyDescent="0.25">
      <c r="A115" s="30" t="s">
        <v>99</v>
      </c>
      <c r="B115" s="27">
        <v>2447</v>
      </c>
    </row>
    <row r="118" spans="1:2" x14ac:dyDescent="0.25">
      <c r="A118" t="s">
        <v>108</v>
      </c>
    </row>
    <row r="120" spans="1:2" x14ac:dyDescent="0.25">
      <c r="A120" s="28" t="s">
        <v>105</v>
      </c>
      <c r="B120" t="s">
        <v>109</v>
      </c>
    </row>
    <row r="121" spans="1:2" x14ac:dyDescent="0.25">
      <c r="A121" s="29">
        <v>1</v>
      </c>
      <c r="B121" s="27">
        <v>6</v>
      </c>
    </row>
    <row r="122" spans="1:2" x14ac:dyDescent="0.25">
      <c r="A122" s="29">
        <v>2</v>
      </c>
      <c r="B122" s="27">
        <v>4</v>
      </c>
    </row>
    <row r="123" spans="1:2" x14ac:dyDescent="0.25">
      <c r="A123" s="29">
        <v>3</v>
      </c>
      <c r="B123" s="27">
        <v>7</v>
      </c>
    </row>
    <row r="124" spans="1:2" x14ac:dyDescent="0.25">
      <c r="A124" s="29">
        <v>4</v>
      </c>
      <c r="B124" s="27">
        <v>8</v>
      </c>
    </row>
    <row r="125" spans="1:2" x14ac:dyDescent="0.25">
      <c r="A125" s="29">
        <v>5</v>
      </c>
      <c r="B125" s="27">
        <v>10</v>
      </c>
    </row>
    <row r="126" spans="1:2" x14ac:dyDescent="0.25">
      <c r="A126" s="29">
        <v>7</v>
      </c>
      <c r="B126" s="27">
        <v>5</v>
      </c>
    </row>
    <row r="127" spans="1:2" x14ac:dyDescent="0.25">
      <c r="A127" s="29">
        <v>8</v>
      </c>
      <c r="B127" s="27">
        <v>2</v>
      </c>
    </row>
    <row r="128" spans="1:2" x14ac:dyDescent="0.25">
      <c r="A128" s="29">
        <v>9</v>
      </c>
      <c r="B128" s="27">
        <v>5</v>
      </c>
    </row>
    <row r="129" spans="1:4" x14ac:dyDescent="0.25">
      <c r="A129" s="29">
        <v>10</v>
      </c>
      <c r="B129" s="27">
        <v>5</v>
      </c>
    </row>
    <row r="130" spans="1:4" x14ac:dyDescent="0.25">
      <c r="A130" s="29">
        <v>11</v>
      </c>
      <c r="B130" s="27">
        <v>3</v>
      </c>
    </row>
    <row r="131" spans="1:4" x14ac:dyDescent="0.25">
      <c r="A131" s="29">
        <v>12</v>
      </c>
      <c r="B131" s="27">
        <v>9</v>
      </c>
    </row>
    <row r="132" spans="1:4" x14ac:dyDescent="0.25">
      <c r="A132" s="29">
        <v>13</v>
      </c>
      <c r="B132" s="27">
        <v>5</v>
      </c>
    </row>
    <row r="133" spans="1:4" x14ac:dyDescent="0.25">
      <c r="A133" s="29">
        <v>14</v>
      </c>
      <c r="B133" s="27">
        <v>3</v>
      </c>
    </row>
    <row r="134" spans="1:4" x14ac:dyDescent="0.25">
      <c r="A134" s="29">
        <v>15</v>
      </c>
      <c r="B134" s="27">
        <v>1</v>
      </c>
    </row>
    <row r="135" spans="1:4" x14ac:dyDescent="0.25">
      <c r="A135" s="29">
        <v>16</v>
      </c>
      <c r="B135" s="27">
        <v>7</v>
      </c>
    </row>
    <row r="136" spans="1:4" x14ac:dyDescent="0.25">
      <c r="A136" s="29">
        <v>17</v>
      </c>
      <c r="B136" s="27">
        <v>9</v>
      </c>
    </row>
    <row r="137" spans="1:4" x14ac:dyDescent="0.25">
      <c r="A137" s="29">
        <v>18</v>
      </c>
      <c r="B137" s="27">
        <v>4</v>
      </c>
    </row>
    <row r="138" spans="1:4" x14ac:dyDescent="0.25">
      <c r="A138" s="29">
        <v>19</v>
      </c>
      <c r="B138" s="27">
        <v>7</v>
      </c>
    </row>
    <row r="139" spans="1:4" x14ac:dyDescent="0.25">
      <c r="A139" s="29" t="s">
        <v>99</v>
      </c>
      <c r="B139" s="27">
        <v>100</v>
      </c>
    </row>
    <row r="142" spans="1:4" x14ac:dyDescent="0.25">
      <c r="A142" t="s">
        <v>110</v>
      </c>
    </row>
    <row r="144" spans="1:4" x14ac:dyDescent="0.25">
      <c r="A144" s="28" t="s">
        <v>105</v>
      </c>
      <c r="B144" t="s">
        <v>111</v>
      </c>
      <c r="C144" t="s">
        <v>112</v>
      </c>
      <c r="D144" t="s">
        <v>98</v>
      </c>
    </row>
    <row r="145" spans="1:4" x14ac:dyDescent="0.25">
      <c r="A145" s="29" t="s">
        <v>100</v>
      </c>
      <c r="B145" s="27">
        <v>33392</v>
      </c>
      <c r="C145" s="27">
        <v>161330</v>
      </c>
      <c r="D145" s="18">
        <v>96707.272727272721</v>
      </c>
    </row>
    <row r="146" spans="1:4" x14ac:dyDescent="0.25">
      <c r="A146" s="29" t="s">
        <v>101</v>
      </c>
      <c r="B146" s="27">
        <v>35965</v>
      </c>
      <c r="C146" s="27">
        <v>164182</v>
      </c>
      <c r="D146" s="18">
        <v>123221.63157894737</v>
      </c>
    </row>
    <row r="147" spans="1:4" x14ac:dyDescent="0.25">
      <c r="A147" s="29" t="s">
        <v>102</v>
      </c>
      <c r="B147" s="27">
        <v>27693</v>
      </c>
      <c r="C147" s="27">
        <v>178371</v>
      </c>
      <c r="D147" s="18">
        <v>114661.5925925926</v>
      </c>
    </row>
    <row r="148" spans="1:4" x14ac:dyDescent="0.25">
      <c r="A148" s="29" t="s">
        <v>103</v>
      </c>
      <c r="B148" s="27">
        <v>28748</v>
      </c>
      <c r="C148" s="27">
        <v>165546</v>
      </c>
      <c r="D148" s="27">
        <v>105839.6</v>
      </c>
    </row>
    <row r="149" spans="1:4" x14ac:dyDescent="0.25">
      <c r="A149" s="29" t="s">
        <v>104</v>
      </c>
      <c r="B149" s="27">
        <v>32392</v>
      </c>
      <c r="C149" s="27">
        <v>179736</v>
      </c>
      <c r="D149" s="18">
        <v>104701.35294117648</v>
      </c>
    </row>
    <row r="150" spans="1:4" x14ac:dyDescent="0.25">
      <c r="A150" s="29" t="s">
        <v>99</v>
      </c>
      <c r="B150" s="27">
        <v>27693</v>
      </c>
      <c r="C150" s="27">
        <v>179736</v>
      </c>
      <c r="D150" s="27">
        <v>109321.51</v>
      </c>
    </row>
    <row r="153" spans="1:4" x14ac:dyDescent="0.25">
      <c r="A153" s="29"/>
    </row>
    <row r="154" spans="1:4" x14ac:dyDescent="0.25">
      <c r="A154" t="s">
        <v>113</v>
      </c>
    </row>
    <row r="156" spans="1:4" x14ac:dyDescent="0.25">
      <c r="A156" s="28" t="s">
        <v>105</v>
      </c>
      <c r="B156" t="s">
        <v>107</v>
      </c>
    </row>
    <row r="157" spans="1:4" x14ac:dyDescent="0.25">
      <c r="A157" s="29" t="s">
        <v>114</v>
      </c>
      <c r="B157" s="27">
        <v>112</v>
      </c>
    </row>
    <row r="158" spans="1:4" x14ac:dyDescent="0.25">
      <c r="A158" s="29" t="s">
        <v>115</v>
      </c>
      <c r="B158" s="27">
        <v>122</v>
      </c>
    </row>
    <row r="159" spans="1:4" x14ac:dyDescent="0.25">
      <c r="A159" s="29" t="s">
        <v>116</v>
      </c>
      <c r="B159" s="27">
        <v>151</v>
      </c>
    </row>
    <row r="160" spans="1:4" x14ac:dyDescent="0.25">
      <c r="A160" s="29" t="s">
        <v>117</v>
      </c>
      <c r="B160" s="27">
        <v>2062</v>
      </c>
    </row>
    <row r="161" spans="1:2" x14ac:dyDescent="0.25">
      <c r="A161" s="29" t="s">
        <v>99</v>
      </c>
      <c r="B161" s="27">
        <v>2447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mean_med_s.d</vt:lpstr>
      <vt:lpstr>pivot_table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2025-08-25T10:11:11Z</dcterms:created>
  <dcterms:modified xsi:type="dcterms:W3CDTF">2026-01-14T12:59:04Z</dcterms:modified>
</cp:coreProperties>
</file>