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7265D65-350E-4B91-9CC4-37EE9D172286}" xr6:coauthVersionLast="47" xr6:coauthVersionMax="47" xr10:uidLastSave="{00000000-0000-0000-0000-000000000000}"/>
  <bookViews>
    <workbookView xWindow="-120" yWindow="-120" windowWidth="20730" windowHeight="11160" activeTab="5" xr2:uid="{C16BAA58-B3E9-45EB-9DEC-D1A9D01BA216}"/>
  </bookViews>
  <sheets>
    <sheet name="Exercise-1" sheetId="1" r:id="rId1"/>
    <sheet name="Exercise-2" sheetId="2" r:id="rId2"/>
    <sheet name="Exercise-3" sheetId="3" r:id="rId3"/>
    <sheet name="Exercise-4" sheetId="4" r:id="rId4"/>
    <sheet name="Exercise-5" sheetId="5" r:id="rId5"/>
    <sheet name="Exercise-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6" l="1"/>
  <c r="I33" i="6"/>
  <c r="I25" i="6"/>
  <c r="I21" i="6"/>
  <c r="L25" i="5"/>
  <c r="L24" i="5"/>
  <c r="L22" i="5"/>
  <c r="L20" i="5"/>
  <c r="L19" i="5"/>
  <c r="E15" i="4"/>
  <c r="F14" i="4"/>
  <c r="E14" i="4"/>
  <c r="E13" i="4"/>
  <c r="E12" i="4"/>
  <c r="E11" i="4"/>
  <c r="E27" i="3"/>
  <c r="E24" i="3"/>
  <c r="E21" i="3"/>
  <c r="E18" i="3"/>
  <c r="D30" i="2"/>
  <c r="D27" i="2"/>
  <c r="D25" i="1"/>
  <c r="D22" i="1"/>
  <c r="D19" i="1"/>
</calcChain>
</file>

<file path=xl/sharedStrings.xml><?xml version="1.0" encoding="utf-8"?>
<sst xmlns="http://schemas.openxmlformats.org/spreadsheetml/2006/main" count="156" uniqueCount="119">
  <si>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</si>
  <si>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</si>
  <si>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</si>
  <si>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</si>
  <si>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</si>
  <si>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</si>
  <si>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</si>
  <si>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</si>
  <si>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</si>
  <si>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</si>
  <si>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</si>
  <si>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</si>
  <si>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</si>
  <si>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</si>
  <si>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</si>
  <si>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</si>
  <si>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</si>
  <si>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</si>
  <si>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</si>
  <si>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</si>
  <si>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</si>
  <si>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</si>
  <si>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</si>
  <si>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</si>
  <si>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</si>
  <si>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</si>
  <si>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</si>
  <si>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</si>
  <si>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</si>
  <si>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</si>
  <si>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</si>
  <si>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</si>
  <si>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</si>
  <si>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</si>
  <si>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</si>
  <si>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</si>
  <si>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</si>
  <si>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</si>
  <si>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 xml:space="preserve">Answer by using functions </t>
  </si>
  <si>
    <t>How many numerical answers appear in column C - Amount?</t>
  </si>
  <si>
    <t>How many non-blank answers (numbers and letters) appear in column C?</t>
  </si>
  <si>
    <t>////count automatically removes blanks,text</t>
  </si>
  <si>
    <t>////=COUNTA(UNIQUE(A2:A100)) count unique responses</t>
  </si>
  <si>
    <t xml:space="preserve">
/////COUNTA counts all non-blank cells (numbers, text, dates, logical values, errors).</t>
  </si>
  <si>
    <t>Answer using the following range:</t>
  </si>
  <si>
    <t>Orange</t>
  </si>
  <si>
    <t>L</t>
  </si>
  <si>
    <t>AAA</t>
  </si>
  <si>
    <t>Apple1234</t>
  </si>
  <si>
    <t xml:space="preserve">Solve by using formulas 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</si>
  <si>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</si>
  <si>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</si>
  <si>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</si>
  <si>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</si>
  <si>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////count</t>
  </si>
  <si>
    <t>////countblank</t>
  </si>
  <si>
    <t>/////=COUNTA(B3:B13) - COUNT(B3:B13)</t>
  </si>
  <si>
    <t>//we require non num.text,blank,dates,etc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</si>
  <si>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</si>
  <si>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</si>
  <si>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</si>
  <si>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</si>
  <si>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</si>
  <si>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</si>
  <si>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</si>
  <si>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</si>
  <si>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</si>
  <si>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</si>
  <si>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</si>
  <si>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</si>
  <si>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</si>
  <si>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2nd best and 3rd best weight?</t>
  </si>
  <si>
    <t>what is the 4th least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</si>
  <si>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</si>
  <si>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</si>
  <si>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</si>
  <si>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</si>
  <si>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</si>
  <si>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</si>
  <si>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</si>
  <si>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</si>
  <si>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</si>
  <si>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</si>
  <si>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</si>
  <si>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</si>
  <si>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</si>
  <si>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</si>
  <si>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</si>
  <si>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</si>
  <si>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</si>
  <si>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</si>
  <si>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</si>
  <si>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</si>
  <si>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</si>
  <si>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</si>
  <si>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</si>
  <si>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</si>
  <si>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</si>
  <si>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</si>
  <si>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</si>
  <si>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</si>
  <si>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</si>
  <si>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</si>
  <si>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</si>
  <si>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</si>
  <si>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</si>
  <si>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</si>
  <si>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</si>
  <si>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</si>
  <si>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</si>
  <si>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</si>
  <si>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</si>
  <si>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</si>
  <si>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</si>
  <si>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</si>
  <si>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//sumif</t>
  </si>
  <si>
    <t>SUMIF</t>
  </si>
  <si>
    <t>COUNTIF</t>
  </si>
  <si>
    <t>SUMIF+SUMIF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</si>
</sst>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  <xf numFmtId="0" fontId="9" fillId="3" borderId="3" xfId="0" applyFont="1" applyFill="1" applyBorder="1"/>
    <xf numFmtId="0" fontId="3" fillId="0" borderId="0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19" fillId="0" borderId="0" xfId="0" applyFont="1"/>
    <xf numFmtId="0" fontId="11" fillId="0" borderId="0" xfId="0" applyFont="1"/>
    <xf numFmtId="0" fontId="18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4" fontId="11" fillId="4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6" fillId="0" borderId="0" xfId="0" applyFont="1"/>
    <xf numFmtId="0" fontId="16" fillId="3" borderId="3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9" fillId="0" borderId="0" xfId="0" applyFont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5" fillId="0" borderId="0" xfId="0" applyFont="1"/>
    <xf numFmtId="0" fontId="5" fillId="6" borderId="0" xfId="0" applyFont="1" applyFill="1"/>
    <xf numFmtId="0" fontId="20" fillId="6" borderId="0" xfId="0" applyFont="1" applyFill="1"/>
    <xf numFmtId="0" fontId="17" fillId="0" borderId="0" xfId="0" applyFont="1"/>
    <xf numFmtId="0" fontId="15" fillId="0" borderId="0" xfId="0" applyFont="1"/>
    <xf numFmtId="0" fontId="0" fillId="0" borderId="0" xfId="0"/>
    <xf numFmtId="0" fontId="19" fillId="0" borderId="0" xfId="0" applyFont="1"/>
    <xf numFmtId="0" fontId="21" fillId="0" borderId="0" xfId="0" applyFont="1" applyAlignment="1">
      <alignment horizontal="center"/>
    </xf>
    <xf numFmtId="0" fontId="2" fillId="0" borderId="7" xfId="0" applyFont="1" applyBorder="1"/>
    <xf numFmtId="0" fontId="19" fillId="0" borderId="0" xfId="0" applyFont="1" applyAlignment="1">
      <alignment horizontal="center"/>
    </xf>
    <xf numFmtId="0" fontId="12" fillId="3" borderId="8" xfId="0" applyFont="1" applyFill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2" fillId="0" borderId="9" xfId="0" applyFont="1" applyBorder="1"/>
    <xf numFmtId="0" fontId="12" fillId="0" borderId="9" xfId="0" applyFont="1" applyBorder="1"/>
    <xf numFmtId="0" fontId="21" fillId="0" borderId="0" xfId="0" applyFont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12" fillId="3" borderId="11" xfId="0" applyFont="1" applyFill="1" applyBorder="1"/>
    <xf numFmtId="0" fontId="0" fillId="6" borderId="10" xfId="0" applyFill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7" fillId="0" borderId="0" xfId="0" applyFont="1"/>
    <xf numFmtId="0" fontId="17" fillId="7" borderId="10" xfId="0" applyFont="1" applyFill="1" applyBorder="1"/>
    <xf numFmtId="3" fontId="17" fillId="7" borderId="10" xfId="0" applyNumberFormat="1" applyFont="1" applyFill="1" applyBorder="1"/>
    <xf numFmtId="0" fontId="23" fillId="0" borderId="0" xfId="0" applyFont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0" xfId="0"/>
    <xf numFmtId="0" fontId="13" fillId="0" borderId="0" xfId="0" applyFont="1"/>
    <xf numFmtId="0" fontId="15" fillId="0" borderId="0" xfId="0" applyFont="1"/>
    <xf numFmtId="0" fontId="23" fillId="0" borderId="0" xfId="0" applyFont="1"/>
    <xf numFmtId="0" fontId="25" fillId="0" borderId="0" xfId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/>
    <xf numFmtId="0" fontId="14" fillId="7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7160-90E9-43E4-BCDF-30CC8608B22B}">
  <dimension ref="A1:F27"/>
  <sheetViews>
    <sheetView topLeftCell="A8" workbookViewId="0">
      <selection activeCell="E33" sqref="E33"/>
    </sheetView>
  </sheetViews>
  <sheetFormatPr defaultRowHeight="15" x14ac:dyDescent="0.25"/>
  <cols>
    <col min="1" max="1" width="13.42578125" customWidth="1"/>
    <col min="2" max="2" width="13.85546875" customWidth="1"/>
    <col min="4" max="4" width="14" customWidth="1"/>
    <col min="5" max="5" width="51.7109375" customWidth="1"/>
  </cols>
  <sheetData>
    <row r="1" spans="1:6" ht="21" x14ac:dyDescent="0.35">
      <c r="A1" s="6" t="s">
        <v>0</v>
      </c>
      <c r="B1" s="7"/>
      <c r="C1" s="7"/>
      <c r="D1" s="7"/>
      <c r="E1" s="2"/>
      <c r="F1" s="2"/>
    </row>
    <row r="2" spans="1:6" ht="21" x14ac:dyDescent="0.35">
      <c r="A2" s="8" t="s">
        <v>1</v>
      </c>
      <c r="B2" s="7"/>
      <c r="C2" s="7"/>
      <c r="D2" s="7"/>
      <c r="E2" s="2"/>
      <c r="F2" s="2"/>
    </row>
    <row r="3" spans="1:6" ht="21" x14ac:dyDescent="0.35">
      <c r="A3" s="8"/>
      <c r="B3" s="7"/>
      <c r="C3" s="7"/>
      <c r="D3" s="7"/>
      <c r="E3" s="2"/>
      <c r="F3" s="2"/>
    </row>
    <row r="4" spans="1:6" ht="20.25" x14ac:dyDescent="0.3">
      <c r="A4" s="4" t="s">
        <v>2</v>
      </c>
      <c r="B4" s="5" t="s">
        <v>3</v>
      </c>
      <c r="C4" s="7"/>
      <c r="D4" s="13"/>
      <c r="E4" s="2"/>
      <c r="F4" s="2"/>
    </row>
    <row r="5" spans="1:6" x14ac:dyDescent="0.25">
      <c r="A5" s="4" t="s">
        <v>4</v>
      </c>
      <c r="B5" s="3">
        <v>7</v>
      </c>
      <c r="C5" s="2"/>
      <c r="D5" s="13"/>
      <c r="E5" s="2"/>
      <c r="F5" s="2"/>
    </row>
    <row r="6" spans="1:6" x14ac:dyDescent="0.25">
      <c r="A6" s="4" t="s">
        <v>5</v>
      </c>
      <c r="B6" s="3">
        <v>5</v>
      </c>
      <c r="C6" s="2"/>
      <c r="D6" s="13"/>
      <c r="E6" s="2"/>
      <c r="F6" s="2"/>
    </row>
    <row r="7" spans="1:6" x14ac:dyDescent="0.25">
      <c r="A7" s="4" t="s">
        <v>6</v>
      </c>
      <c r="B7" s="3">
        <v>6</v>
      </c>
      <c r="C7" s="2"/>
      <c r="D7" s="13"/>
      <c r="E7" s="2"/>
      <c r="F7" s="2"/>
    </row>
    <row r="8" spans="1:6" x14ac:dyDescent="0.25">
      <c r="A8" s="4" t="s">
        <v>7</v>
      </c>
      <c r="B8" s="3">
        <v>4</v>
      </c>
      <c r="C8" s="2"/>
      <c r="D8" s="13"/>
      <c r="E8" s="2"/>
      <c r="F8" s="2"/>
    </row>
    <row r="9" spans="1:6" x14ac:dyDescent="0.25">
      <c r="A9" s="4" t="s">
        <v>8</v>
      </c>
      <c r="B9" s="3" t="s">
        <v>9</v>
      </c>
      <c r="C9" s="2"/>
      <c r="D9" s="13"/>
      <c r="E9" s="2"/>
      <c r="F9" s="2"/>
    </row>
    <row r="10" spans="1:6" x14ac:dyDescent="0.25">
      <c r="A10" s="4" t="s">
        <v>10</v>
      </c>
      <c r="B10" s="3" t="s">
        <v>11</v>
      </c>
      <c r="C10" s="2"/>
      <c r="D10" s="13"/>
      <c r="E10" s="2"/>
      <c r="F10" s="2"/>
    </row>
    <row r="11" spans="1:6" x14ac:dyDescent="0.25">
      <c r="A11" s="4" t="s">
        <v>12</v>
      </c>
      <c r="B11" s="3" t="s">
        <v>12</v>
      </c>
      <c r="C11" s="2"/>
      <c r="D11" s="13"/>
      <c r="E11" s="2"/>
      <c r="F11" s="2"/>
    </row>
    <row r="12" spans="1:6" x14ac:dyDescent="0.25">
      <c r="A12" s="1"/>
      <c r="B12" s="1"/>
      <c r="C12" s="2"/>
      <c r="D12" s="2"/>
      <c r="E12" s="2"/>
      <c r="F12" s="2"/>
    </row>
    <row r="16" spans="1:6" ht="21" x14ac:dyDescent="0.35">
      <c r="A16" s="11" t="s">
        <v>13</v>
      </c>
      <c r="B16" s="10"/>
      <c r="C16" s="10"/>
      <c r="D16" s="10"/>
      <c r="E16" s="10"/>
      <c r="F16" s="10"/>
    </row>
    <row r="17" spans="1:6" ht="20.25" x14ac:dyDescent="0.3">
      <c r="A17" s="10"/>
      <c r="B17" s="10"/>
      <c r="C17" s="10"/>
      <c r="D17" s="10"/>
      <c r="E17" s="10"/>
      <c r="F17" s="10"/>
    </row>
    <row r="18" spans="1:6" ht="21.75" thickBot="1" x14ac:dyDescent="0.4">
      <c r="A18" s="11" t="s">
        <v>14</v>
      </c>
      <c r="B18" s="11" t="s">
        <v>15</v>
      </c>
      <c r="C18" s="10"/>
      <c r="D18" s="10"/>
      <c r="E18" s="10"/>
      <c r="F18" s="10"/>
    </row>
    <row r="19" spans="1:6" ht="21.75" thickBot="1" x14ac:dyDescent="0.4">
      <c r="A19" s="11" t="s">
        <v>3</v>
      </c>
      <c r="B19" s="12">
        <v>4</v>
      </c>
      <c r="C19" s="11"/>
      <c r="D19" s="10">
        <f>COUNT(B5:B11)</f>
        <v>4</v>
      </c>
      <c r="E19" s="10" t="s">
        <v>41</v>
      </c>
      <c r="F19" s="10"/>
    </row>
    <row r="20" spans="1:6" ht="20.25" x14ac:dyDescent="0.3">
      <c r="A20" s="10"/>
      <c r="B20" s="10"/>
      <c r="C20" s="10"/>
      <c r="D20" s="10"/>
      <c r="E20" s="10"/>
      <c r="F20" s="10"/>
    </row>
    <row r="21" spans="1:6" ht="21.75" thickBot="1" x14ac:dyDescent="0.4">
      <c r="A21" s="11" t="s">
        <v>14</v>
      </c>
      <c r="B21" s="11" t="s">
        <v>16</v>
      </c>
      <c r="C21" s="10"/>
      <c r="D21" s="10"/>
      <c r="E21" s="10"/>
      <c r="F21" s="10"/>
    </row>
    <row r="22" spans="1:6" ht="82.5" thickBot="1" x14ac:dyDescent="0.4">
      <c r="A22" s="11" t="s">
        <v>3</v>
      </c>
      <c r="B22" s="12">
        <v>7</v>
      </c>
      <c r="C22" s="11"/>
      <c r="D22" s="10">
        <f>COUNTA(B5:B11)</f>
        <v>7</v>
      </c>
      <c r="E22" s="14" t="s">
        <v>43</v>
      </c>
      <c r="F22" s="10"/>
    </row>
    <row r="24" spans="1:6" ht="21.75" thickBot="1" x14ac:dyDescent="0.4">
      <c r="A24" s="11" t="s">
        <v>14</v>
      </c>
      <c r="B24" s="11" t="s">
        <v>17</v>
      </c>
      <c r="C24" s="9"/>
      <c r="D24" s="9"/>
      <c r="E24" s="9"/>
      <c r="F24" s="9"/>
    </row>
    <row r="25" spans="1:6" ht="21.75" thickBot="1" x14ac:dyDescent="0.4">
      <c r="A25" s="11" t="s">
        <v>3</v>
      </c>
      <c r="B25" s="12">
        <v>7</v>
      </c>
      <c r="C25" s="9"/>
      <c r="D25" s="9">
        <f>COUNTA(_xlfn.UNIQUE(A5:A11))</f>
        <v>7</v>
      </c>
      <c r="E25" s="9" t="s">
        <v>42</v>
      </c>
      <c r="F25" s="9"/>
    </row>
    <row r="27" spans="1:6" ht="21" x14ac:dyDescent="0.35">
      <c r="A27" s="11"/>
      <c r="B27" s="9"/>
      <c r="C27" s="9"/>
      <c r="D27" s="9"/>
      <c r="E27" s="9"/>
      <c r="F2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56B-B34F-47A5-A313-2BED4331ACA7}">
  <dimension ref="A2:F30"/>
  <sheetViews>
    <sheetView topLeftCell="A17" workbookViewId="0">
      <selection activeCell="B30" sqref="B30"/>
    </sheetView>
  </sheetViews>
  <sheetFormatPr defaultRowHeight="15" x14ac:dyDescent="0.25"/>
  <cols>
    <col min="1" max="1" width="19.85546875" customWidth="1"/>
    <col min="2" max="2" width="22.5703125" customWidth="1"/>
    <col min="3" max="3" width="17.85546875" customWidth="1"/>
    <col min="17" max="17" width="9.140625" customWidth="1"/>
  </cols>
  <sheetData>
    <row r="2" spans="1:6" ht="23.25" x14ac:dyDescent="0.35">
      <c r="A2" s="17" t="s">
        <v>18</v>
      </c>
      <c r="B2" s="17"/>
      <c r="C2" s="17"/>
      <c r="D2" s="17"/>
      <c r="E2" s="17"/>
      <c r="F2" s="17"/>
    </row>
    <row r="3" spans="1:6" ht="23.25" x14ac:dyDescent="0.35">
      <c r="A3" s="17" t="s">
        <v>19</v>
      </c>
      <c r="B3" s="17"/>
      <c r="C3" s="17"/>
      <c r="D3" s="17"/>
      <c r="E3" s="17"/>
      <c r="F3" s="17"/>
    </row>
    <row r="4" spans="1:6" ht="30" x14ac:dyDescent="0.25">
      <c r="A4" s="18" t="s">
        <v>20</v>
      </c>
      <c r="B4" s="18" t="s">
        <v>21</v>
      </c>
      <c r="C4" s="18" t="s">
        <v>22</v>
      </c>
      <c r="D4" s="16"/>
      <c r="E4" s="16"/>
      <c r="F4" s="16"/>
    </row>
    <row r="5" spans="1:6" ht="45" x14ac:dyDescent="0.25">
      <c r="A5" s="19">
        <v>101</v>
      </c>
      <c r="B5" s="19" t="s">
        <v>23</v>
      </c>
      <c r="C5" s="20">
        <v>78022</v>
      </c>
      <c r="D5" s="16"/>
      <c r="E5" s="16"/>
      <c r="F5" s="16"/>
    </row>
    <row r="6" spans="1:6" x14ac:dyDescent="0.25">
      <c r="A6" s="19">
        <v>102</v>
      </c>
      <c r="B6" s="19" t="s">
        <v>24</v>
      </c>
      <c r="C6" s="20">
        <v>99819</v>
      </c>
      <c r="D6" s="16"/>
      <c r="E6" s="16"/>
      <c r="F6" s="16"/>
    </row>
    <row r="7" spans="1:6" ht="30" x14ac:dyDescent="0.25">
      <c r="A7" s="19">
        <v>103</v>
      </c>
      <c r="B7" s="19" t="s">
        <v>25</v>
      </c>
      <c r="C7" s="19" t="s">
        <v>26</v>
      </c>
      <c r="D7" s="16"/>
      <c r="E7" s="16"/>
      <c r="F7" s="16"/>
    </row>
    <row r="8" spans="1:6" ht="30" x14ac:dyDescent="0.25">
      <c r="A8" s="19">
        <v>104</v>
      </c>
      <c r="B8" s="19" t="s">
        <v>27</v>
      </c>
      <c r="C8" s="20">
        <v>27522</v>
      </c>
      <c r="D8" s="16"/>
      <c r="E8" s="16"/>
      <c r="F8" s="16"/>
    </row>
    <row r="9" spans="1:6" ht="30" x14ac:dyDescent="0.25">
      <c r="A9" s="19">
        <v>105</v>
      </c>
      <c r="B9" s="19" t="s">
        <v>28</v>
      </c>
      <c r="C9" s="19">
        <v>0</v>
      </c>
      <c r="D9" s="16"/>
      <c r="E9" s="16"/>
      <c r="F9" s="16"/>
    </row>
    <row r="10" spans="1:6" ht="30" x14ac:dyDescent="0.25">
      <c r="A10" s="19">
        <v>106</v>
      </c>
      <c r="B10" s="19" t="s">
        <v>29</v>
      </c>
      <c r="C10" s="19"/>
      <c r="D10" s="16"/>
      <c r="E10" s="16"/>
      <c r="F10" s="16"/>
    </row>
    <row r="11" spans="1:6" ht="30" x14ac:dyDescent="0.25">
      <c r="A11" s="19">
        <v>107</v>
      </c>
      <c r="B11" s="19" t="s">
        <v>30</v>
      </c>
      <c r="C11" s="19">
        <v>0</v>
      </c>
      <c r="D11" s="16"/>
      <c r="E11" s="16"/>
      <c r="F11" s="16"/>
    </row>
    <row r="12" spans="1:6" ht="30" x14ac:dyDescent="0.25">
      <c r="A12" s="19">
        <v>108</v>
      </c>
      <c r="B12" s="19" t="s">
        <v>31</v>
      </c>
      <c r="C12" s="20">
        <v>88041</v>
      </c>
      <c r="D12" s="16"/>
      <c r="E12" s="16"/>
      <c r="F12" s="16"/>
    </row>
    <row r="13" spans="1:6" ht="45" x14ac:dyDescent="0.25">
      <c r="A13" s="19">
        <v>109</v>
      </c>
      <c r="B13" s="19" t="s">
        <v>32</v>
      </c>
      <c r="C13" s="20">
        <v>81831</v>
      </c>
      <c r="D13" s="16"/>
      <c r="E13" s="16"/>
      <c r="F13" s="16"/>
    </row>
    <row r="14" spans="1:6" ht="30" x14ac:dyDescent="0.25">
      <c r="A14" s="19">
        <v>110</v>
      </c>
      <c r="B14" s="19" t="s">
        <v>33</v>
      </c>
      <c r="C14" s="19" t="s">
        <v>26</v>
      </c>
      <c r="D14" s="16"/>
      <c r="E14" s="16"/>
      <c r="F14" s="16"/>
    </row>
    <row r="15" spans="1:6" ht="45" x14ac:dyDescent="0.25">
      <c r="A15" s="19">
        <v>111</v>
      </c>
      <c r="B15" s="19" t="s">
        <v>34</v>
      </c>
      <c r="C15" s="19"/>
      <c r="D15" s="16"/>
      <c r="E15" s="16"/>
      <c r="F15" s="16"/>
    </row>
    <row r="16" spans="1:6" ht="60" x14ac:dyDescent="0.25">
      <c r="A16" s="19">
        <v>112</v>
      </c>
      <c r="B16" s="19" t="s">
        <v>35</v>
      </c>
      <c r="C16" s="20">
        <v>26624</v>
      </c>
      <c r="D16" s="16"/>
      <c r="E16" s="16"/>
      <c r="F16" s="16"/>
    </row>
    <row r="17" spans="1:6" ht="45" x14ac:dyDescent="0.25">
      <c r="A17" s="19">
        <v>113</v>
      </c>
      <c r="B17" s="19" t="s">
        <v>36</v>
      </c>
      <c r="C17" s="20">
        <v>92885</v>
      </c>
      <c r="D17" s="16"/>
      <c r="E17" s="16"/>
      <c r="F17" s="16"/>
    </row>
    <row r="18" spans="1:6" ht="60" x14ac:dyDescent="0.25">
      <c r="A18" s="19">
        <v>114</v>
      </c>
      <c r="B18" s="19" t="s">
        <v>37</v>
      </c>
      <c r="C18" s="19">
        <v>0</v>
      </c>
      <c r="D18" s="16"/>
      <c r="E18" s="16"/>
      <c r="F18" s="16"/>
    </row>
    <row r="19" spans="1:6" x14ac:dyDescent="0.25">
      <c r="A19" s="16"/>
      <c r="B19" s="16"/>
      <c r="C19" s="16"/>
      <c r="D19" s="16"/>
      <c r="E19" s="16"/>
      <c r="F19" s="16"/>
    </row>
    <row r="25" spans="1:6" x14ac:dyDescent="0.25">
      <c r="A25" s="21" t="s">
        <v>38</v>
      </c>
      <c r="B25" s="22"/>
      <c r="C25" s="22"/>
      <c r="D25" s="22"/>
      <c r="E25" s="22"/>
      <c r="F25" s="22"/>
    </row>
    <row r="26" spans="1:6" ht="19.5" thickBot="1" x14ac:dyDescent="0.35">
      <c r="A26" s="23" t="s">
        <v>14</v>
      </c>
      <c r="B26" s="23" t="s">
        <v>39</v>
      </c>
      <c r="C26" s="23"/>
      <c r="D26" s="22"/>
      <c r="E26" s="22"/>
      <c r="F26" s="22"/>
    </row>
    <row r="27" spans="1:6" ht="19.5" thickBot="1" x14ac:dyDescent="0.35">
      <c r="A27" s="23" t="s">
        <v>3</v>
      </c>
      <c r="B27" s="24">
        <v>10</v>
      </c>
      <c r="C27" s="23"/>
      <c r="D27" s="22">
        <f>COUNT(C5:C18)</f>
        <v>10</v>
      </c>
      <c r="E27" s="22"/>
      <c r="F27" s="22"/>
    </row>
    <row r="28" spans="1:6" ht="18.75" x14ac:dyDescent="0.3">
      <c r="A28" s="23"/>
      <c r="B28" s="23"/>
      <c r="C28" s="23"/>
      <c r="D28" s="22"/>
      <c r="E28" s="22"/>
      <c r="F28" s="22"/>
    </row>
    <row r="29" spans="1:6" ht="19.5" thickBot="1" x14ac:dyDescent="0.35">
      <c r="A29" s="23" t="s">
        <v>14</v>
      </c>
      <c r="B29" s="23" t="s">
        <v>40</v>
      </c>
      <c r="C29" s="23"/>
      <c r="D29" s="22"/>
      <c r="E29" s="22"/>
      <c r="F29" s="22"/>
    </row>
    <row r="30" spans="1:6" ht="19.5" thickBot="1" x14ac:dyDescent="0.35">
      <c r="A30" s="23" t="s">
        <v>3</v>
      </c>
      <c r="B30" s="24">
        <v>12</v>
      </c>
      <c r="C30" s="23"/>
      <c r="D30" s="22">
        <f>COUNTA(C5:C18)</f>
        <v>12</v>
      </c>
      <c r="E30" s="22"/>
      <c r="F3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AED8-F4D4-46B8-8646-8D153687ED64}">
  <dimension ref="A1:K29"/>
  <sheetViews>
    <sheetView topLeftCell="A11" workbookViewId="0">
      <selection activeCell="E27" sqref="E27"/>
    </sheetView>
  </sheetViews>
  <sheetFormatPr defaultRowHeight="15" x14ac:dyDescent="0.25"/>
  <sheetData>
    <row r="1" spans="1:7" ht="21" x14ac:dyDescent="0.35">
      <c r="A1" s="28"/>
      <c r="B1" s="31" t="s">
        <v>44</v>
      </c>
      <c r="C1" s="28"/>
      <c r="D1" s="28"/>
      <c r="E1" s="26"/>
      <c r="F1" s="26"/>
      <c r="G1" s="26"/>
    </row>
    <row r="2" spans="1:7" ht="15.75" thickBot="1" x14ac:dyDescent="0.3">
      <c r="A2" s="25"/>
      <c r="B2" s="25"/>
      <c r="C2" s="28"/>
      <c r="D2" s="28"/>
      <c r="E2" s="26"/>
      <c r="F2" s="26"/>
      <c r="G2" s="26"/>
    </row>
    <row r="3" spans="1:7" x14ac:dyDescent="0.25">
      <c r="A3" s="28"/>
      <c r="B3" s="33"/>
      <c r="C3" s="28"/>
      <c r="D3" s="28"/>
      <c r="E3" s="26"/>
      <c r="F3" s="26"/>
      <c r="G3" s="26"/>
    </row>
    <row r="4" spans="1:7" x14ac:dyDescent="0.25">
      <c r="A4" s="28"/>
      <c r="B4" s="34" t="s">
        <v>45</v>
      </c>
      <c r="C4" s="28"/>
      <c r="D4" s="28"/>
      <c r="E4" s="26"/>
      <c r="F4" s="26"/>
      <c r="G4" s="26"/>
    </row>
    <row r="5" spans="1:7" x14ac:dyDescent="0.25">
      <c r="A5" s="28"/>
      <c r="B5" s="34">
        <v>4</v>
      </c>
      <c r="C5" s="28"/>
      <c r="D5" s="28"/>
      <c r="E5" s="26"/>
      <c r="F5" s="26"/>
      <c r="G5" s="26"/>
    </row>
    <row r="6" spans="1:7" x14ac:dyDescent="0.25">
      <c r="A6" s="28"/>
      <c r="B6" s="34"/>
      <c r="C6" s="28"/>
      <c r="D6" s="28"/>
      <c r="E6" s="26"/>
      <c r="F6" s="26"/>
      <c r="G6" s="26"/>
    </row>
    <row r="7" spans="1:7" x14ac:dyDescent="0.25">
      <c r="A7" s="28"/>
      <c r="B7" s="34">
        <v>3</v>
      </c>
      <c r="C7" s="28"/>
      <c r="D7" s="28"/>
      <c r="E7" s="26"/>
      <c r="F7" s="26"/>
      <c r="G7" s="26"/>
    </row>
    <row r="8" spans="1:7" x14ac:dyDescent="0.25">
      <c r="A8" s="28"/>
      <c r="B8" s="34"/>
      <c r="C8" s="28"/>
      <c r="D8" s="28"/>
      <c r="E8" s="26"/>
      <c r="F8" s="26"/>
      <c r="G8" s="26"/>
    </row>
    <row r="9" spans="1:7" x14ac:dyDescent="0.25">
      <c r="A9" s="28"/>
      <c r="B9" s="34" t="s">
        <v>46</v>
      </c>
      <c r="C9" s="28"/>
      <c r="D9" s="28"/>
      <c r="E9" s="26"/>
      <c r="F9" s="26"/>
      <c r="G9" s="26"/>
    </row>
    <row r="10" spans="1:7" x14ac:dyDescent="0.25">
      <c r="A10" s="28"/>
      <c r="B10" s="34"/>
      <c r="C10" s="28"/>
      <c r="D10" s="28"/>
      <c r="E10" s="26"/>
      <c r="F10" s="26"/>
      <c r="G10" s="26"/>
    </row>
    <row r="11" spans="1:7" x14ac:dyDescent="0.25">
      <c r="A11" s="28"/>
      <c r="B11" s="34" t="e">
        <v>#DIV/0!</v>
      </c>
      <c r="C11" s="28"/>
      <c r="D11" s="28"/>
      <c r="E11" s="26"/>
      <c r="F11" s="26"/>
      <c r="G11" s="26"/>
    </row>
    <row r="12" spans="1:7" x14ac:dyDescent="0.25">
      <c r="A12" s="28"/>
      <c r="B12" s="34" t="s">
        <v>47</v>
      </c>
      <c r="C12" s="28"/>
      <c r="D12" s="28"/>
      <c r="E12" s="26"/>
      <c r="F12" s="26"/>
      <c r="G12" s="26"/>
    </row>
    <row r="13" spans="1:7" ht="15.75" thickBot="1" x14ac:dyDescent="0.3">
      <c r="A13" s="28"/>
      <c r="B13" s="35" t="s">
        <v>48</v>
      </c>
      <c r="C13" s="28"/>
      <c r="D13" s="28"/>
      <c r="E13" s="26"/>
      <c r="F13" s="26"/>
      <c r="G13" s="26"/>
    </row>
    <row r="14" spans="1:7" x14ac:dyDescent="0.25">
      <c r="A14" s="25"/>
      <c r="B14" s="25"/>
      <c r="C14" s="28"/>
      <c r="D14" s="28"/>
      <c r="E14" s="26"/>
      <c r="F14" s="26"/>
      <c r="G14" s="26"/>
    </row>
    <row r="15" spans="1:7" ht="18.75" x14ac:dyDescent="0.3">
      <c r="A15" s="29"/>
      <c r="B15" s="30" t="s">
        <v>49</v>
      </c>
      <c r="C15" s="29"/>
      <c r="D15" s="29"/>
      <c r="E15" s="27"/>
      <c r="F15" s="27"/>
      <c r="G15" s="27"/>
    </row>
    <row r="16" spans="1:7" ht="18.75" x14ac:dyDescent="0.3">
      <c r="A16" s="36"/>
      <c r="B16" s="36"/>
      <c r="C16" s="29"/>
      <c r="D16" s="29"/>
      <c r="E16" s="27"/>
      <c r="F16" s="27"/>
      <c r="G16" s="27"/>
    </row>
    <row r="17" spans="1:11" ht="18.75" x14ac:dyDescent="0.3">
      <c r="A17" s="30">
        <v>1</v>
      </c>
      <c r="B17" s="30" t="s">
        <v>50</v>
      </c>
      <c r="C17" s="29"/>
      <c r="D17" s="29"/>
      <c r="E17" s="27"/>
      <c r="F17" s="27"/>
      <c r="G17" s="27"/>
    </row>
    <row r="18" spans="1:11" ht="18.75" x14ac:dyDescent="0.3">
      <c r="A18" s="37">
        <v>2</v>
      </c>
      <c r="B18" s="37"/>
      <c r="C18" s="30"/>
      <c r="D18" s="29"/>
      <c r="E18" s="27">
        <f>COUNT(B3:B13)</f>
        <v>2</v>
      </c>
      <c r="F18" s="27" t="s">
        <v>54</v>
      </c>
      <c r="G18" s="27"/>
    </row>
    <row r="19" spans="1:11" ht="18.75" x14ac:dyDescent="0.3">
      <c r="A19" s="36"/>
      <c r="B19" s="36"/>
      <c r="C19" s="29"/>
      <c r="D19" s="29"/>
      <c r="E19" s="27"/>
      <c r="F19" s="27"/>
      <c r="G19" s="27"/>
    </row>
    <row r="20" spans="1:11" ht="18.75" x14ac:dyDescent="0.3">
      <c r="A20" s="30">
        <v>2</v>
      </c>
      <c r="B20" s="30" t="s">
        <v>51</v>
      </c>
      <c r="C20" s="29"/>
      <c r="D20" s="29"/>
      <c r="E20" s="27"/>
      <c r="F20" s="27"/>
      <c r="G20" s="27"/>
    </row>
    <row r="21" spans="1:11" ht="18.75" x14ac:dyDescent="0.3">
      <c r="A21" s="37">
        <v>4</v>
      </c>
      <c r="B21" s="37"/>
      <c r="C21" s="30"/>
      <c r="D21" s="29"/>
      <c r="E21" s="27">
        <f>COUNTBLANK(B3:B13)</f>
        <v>4</v>
      </c>
      <c r="F21" s="27" t="s">
        <v>55</v>
      </c>
      <c r="G21" s="27"/>
    </row>
    <row r="22" spans="1:11" ht="18.75" x14ac:dyDescent="0.3">
      <c r="A22" s="36"/>
      <c r="B22" s="36"/>
      <c r="C22" s="29"/>
      <c r="D22" s="29"/>
      <c r="E22" s="27"/>
      <c r="F22" s="27"/>
      <c r="G22" s="27"/>
    </row>
    <row r="23" spans="1:11" ht="18.75" x14ac:dyDescent="0.3">
      <c r="A23" s="30">
        <v>3</v>
      </c>
      <c r="B23" s="30" t="s">
        <v>52</v>
      </c>
      <c r="C23" s="29"/>
      <c r="D23" s="29"/>
      <c r="E23" s="27"/>
      <c r="F23" s="27"/>
      <c r="G23" s="27"/>
    </row>
    <row r="24" spans="1:11" ht="18.75" x14ac:dyDescent="0.3">
      <c r="A24" s="37">
        <v>5</v>
      </c>
      <c r="B24" s="37"/>
      <c r="C24" s="30"/>
      <c r="D24" s="29"/>
      <c r="E24" s="27">
        <f>COUNTA(B3:B13)-COUNT(B3:B13)</f>
        <v>5</v>
      </c>
      <c r="F24" s="27" t="s">
        <v>56</v>
      </c>
      <c r="G24" s="27"/>
      <c r="K24" t="s">
        <v>57</v>
      </c>
    </row>
    <row r="25" spans="1:11" ht="18.75" x14ac:dyDescent="0.3">
      <c r="A25" s="36"/>
      <c r="B25" s="36"/>
      <c r="C25" s="29"/>
      <c r="D25" s="29"/>
      <c r="E25" s="27"/>
      <c r="F25" s="27"/>
      <c r="G25" s="27"/>
    </row>
    <row r="26" spans="1:11" ht="18.75" x14ac:dyDescent="0.3">
      <c r="A26" s="30">
        <v>4</v>
      </c>
      <c r="B26" s="30" t="s">
        <v>53</v>
      </c>
      <c r="C26" s="29"/>
      <c r="D26" s="29"/>
      <c r="E26" s="27"/>
      <c r="F26" s="27"/>
      <c r="G26" s="27"/>
    </row>
    <row r="27" spans="1:11" ht="18.75" x14ac:dyDescent="0.3">
      <c r="A27" s="38"/>
      <c r="B27" s="38"/>
      <c r="C27" s="30"/>
      <c r="D27" s="29"/>
      <c r="E27" s="27">
        <f>COUNTA(B3:B13)</f>
        <v>7</v>
      </c>
      <c r="F27" s="27"/>
      <c r="G27" s="27"/>
    </row>
    <row r="28" spans="1:11" x14ac:dyDescent="0.25">
      <c r="A28" s="25"/>
      <c r="B28" s="25"/>
      <c r="C28" s="28"/>
      <c r="D28" s="28"/>
      <c r="E28" s="26"/>
      <c r="F28" s="26"/>
      <c r="G28" s="26"/>
    </row>
    <row r="29" spans="1:11" x14ac:dyDescent="0.25">
      <c r="A29" s="15"/>
      <c r="B29" s="15"/>
      <c r="C29" s="32"/>
      <c r="D29" s="32"/>
      <c r="E29" s="26"/>
      <c r="F29" s="26"/>
      <c r="G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58F9-A85E-4EAD-BA8D-1311AA29B71D}">
  <dimension ref="A1:F15"/>
  <sheetViews>
    <sheetView workbookViewId="0">
      <selection activeCell="B18" sqref="B18"/>
    </sheetView>
  </sheetViews>
  <sheetFormatPr defaultRowHeight="15" x14ac:dyDescent="0.25"/>
  <cols>
    <col min="1" max="1" width="9.140625" customWidth="1"/>
    <col min="2" max="2" width="71.42578125" customWidth="1"/>
    <col min="3" max="3" width="37.42578125" customWidth="1"/>
    <col min="4" max="4" width="16.140625" customWidth="1"/>
  </cols>
  <sheetData>
    <row r="1" spans="1:6" x14ac:dyDescent="0.25">
      <c r="A1" s="43"/>
      <c r="B1" s="53" t="s">
        <v>58</v>
      </c>
      <c r="C1" s="44"/>
      <c r="D1" s="41"/>
    </row>
    <row r="2" spans="1:6" x14ac:dyDescent="0.25">
      <c r="A2" s="47">
        <v>1</v>
      </c>
      <c r="B2" s="48" t="s">
        <v>59</v>
      </c>
      <c r="C2" s="42"/>
      <c r="D2" s="41"/>
    </row>
    <row r="3" spans="1:6" x14ac:dyDescent="0.25">
      <c r="A3" s="54"/>
      <c r="B3" s="55" t="s">
        <v>60</v>
      </c>
      <c r="C3" s="51" t="s">
        <v>61</v>
      </c>
      <c r="D3" s="41"/>
    </row>
    <row r="4" spans="1:6" x14ac:dyDescent="0.25">
      <c r="A4" s="47"/>
      <c r="B4" s="48" t="s">
        <v>62</v>
      </c>
      <c r="C4" s="52">
        <v>200</v>
      </c>
      <c r="D4" s="41"/>
    </row>
    <row r="5" spans="1:6" x14ac:dyDescent="0.25">
      <c r="A5" s="47"/>
      <c r="B5" s="48" t="s">
        <v>63</v>
      </c>
      <c r="C5" s="52">
        <v>120</v>
      </c>
      <c r="D5" s="41"/>
    </row>
    <row r="6" spans="1:6" x14ac:dyDescent="0.25">
      <c r="A6" s="47"/>
      <c r="B6" s="48" t="s">
        <v>64</v>
      </c>
      <c r="C6" s="52">
        <v>156</v>
      </c>
      <c r="D6" s="41"/>
    </row>
    <row r="7" spans="1:6" x14ac:dyDescent="0.25">
      <c r="A7" s="47"/>
      <c r="B7" s="48" t="s">
        <v>65</v>
      </c>
      <c r="C7" s="52">
        <v>190</v>
      </c>
      <c r="D7" s="41"/>
    </row>
    <row r="8" spans="1:6" x14ac:dyDescent="0.25">
      <c r="A8" s="47"/>
      <c r="B8" s="48" t="s">
        <v>66</v>
      </c>
      <c r="C8" s="52">
        <v>320</v>
      </c>
      <c r="D8" s="41"/>
    </row>
    <row r="9" spans="1:6" x14ac:dyDescent="0.25">
      <c r="A9" s="47"/>
      <c r="B9" s="48" t="s">
        <v>67</v>
      </c>
      <c r="C9" s="52">
        <v>89</v>
      </c>
      <c r="D9" s="41"/>
    </row>
    <row r="10" spans="1:6" ht="15.75" thickBot="1" x14ac:dyDescent="0.3">
      <c r="A10" s="45"/>
      <c r="B10" s="42"/>
      <c r="C10" s="42"/>
      <c r="D10" s="41"/>
    </row>
    <row r="11" spans="1:6" ht="15.75" thickBot="1" x14ac:dyDescent="0.3">
      <c r="A11" s="47">
        <v>1.1000000000000001</v>
      </c>
      <c r="B11" s="48" t="s">
        <v>68</v>
      </c>
      <c r="C11" s="46">
        <v>320</v>
      </c>
      <c r="D11" s="41"/>
      <c r="E11">
        <f>MAX(C4:C9)</f>
        <v>320</v>
      </c>
    </row>
    <row r="12" spans="1:6" ht="15.75" thickBot="1" x14ac:dyDescent="0.3">
      <c r="A12" s="47">
        <v>1.2</v>
      </c>
      <c r="B12" s="48" t="s">
        <v>69</v>
      </c>
      <c r="C12" s="46">
        <v>89</v>
      </c>
      <c r="D12" s="41"/>
      <c r="E12">
        <f>MIN(C4:C9)</f>
        <v>89</v>
      </c>
    </row>
    <row r="13" spans="1:6" ht="15.75" thickBot="1" x14ac:dyDescent="0.3">
      <c r="A13" s="47">
        <v>1.3</v>
      </c>
      <c r="B13" s="48" t="s">
        <v>70</v>
      </c>
      <c r="C13" s="46">
        <v>204.5</v>
      </c>
      <c r="D13" s="41"/>
      <c r="E13">
        <f>AVERAGE(C11,C12)</f>
        <v>204.5</v>
      </c>
    </row>
    <row r="14" spans="1:6" ht="15.75" thickBot="1" x14ac:dyDescent="0.3">
      <c r="A14" s="49">
        <v>1.4</v>
      </c>
      <c r="B14" s="50" t="s">
        <v>71</v>
      </c>
      <c r="C14" s="56">
        <v>200</v>
      </c>
      <c r="D14" s="57">
        <v>190</v>
      </c>
      <c r="E14">
        <f>LARGE(C4:C9,2)</f>
        <v>200</v>
      </c>
      <c r="F14">
        <f>LARGE(C4:C9,3)</f>
        <v>190</v>
      </c>
    </row>
    <row r="15" spans="1:6" ht="15.75" thickBot="1" x14ac:dyDescent="0.3">
      <c r="A15" s="49">
        <v>1.5</v>
      </c>
      <c r="B15" s="48" t="s">
        <v>72</v>
      </c>
      <c r="C15" s="46">
        <v>190</v>
      </c>
      <c r="D15" s="41"/>
      <c r="E15">
        <f>SMALL(C4:C9,4)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0B58-4391-4A50-8495-4DD3F48DD33B}">
  <dimension ref="B1:O25"/>
  <sheetViews>
    <sheetView workbookViewId="0">
      <selection activeCell="G16" sqref="G16"/>
    </sheetView>
  </sheetViews>
  <sheetFormatPr defaultRowHeight="15" x14ac:dyDescent="0.25"/>
  <cols>
    <col min="4" max="4" width="18.5703125" customWidth="1"/>
    <col min="5" max="5" width="20" customWidth="1"/>
    <col min="8" max="8" width="24.7109375" customWidth="1"/>
  </cols>
  <sheetData>
    <row r="1" spans="2:5" x14ac:dyDescent="0.25">
      <c r="B1" s="58" t="s">
        <v>73</v>
      </c>
      <c r="C1" s="58" t="s">
        <v>74</v>
      </c>
      <c r="D1" s="58" t="s">
        <v>75</v>
      </c>
      <c r="E1" s="58" t="s">
        <v>76</v>
      </c>
    </row>
    <row r="2" spans="2:5" x14ac:dyDescent="0.25">
      <c r="B2" s="59">
        <v>1</v>
      </c>
      <c r="C2" s="60">
        <v>8000</v>
      </c>
      <c r="D2" s="59" t="s">
        <v>77</v>
      </c>
      <c r="E2" s="59">
        <v>10</v>
      </c>
    </row>
    <row r="3" spans="2:5" x14ac:dyDescent="0.25">
      <c r="B3" s="59">
        <v>2</v>
      </c>
      <c r="C3" s="60">
        <v>11000</v>
      </c>
      <c r="D3" s="59" t="s">
        <v>77</v>
      </c>
      <c r="E3" s="59">
        <v>9</v>
      </c>
    </row>
    <row r="4" spans="2:5" x14ac:dyDescent="0.25">
      <c r="B4" s="59">
        <v>3</v>
      </c>
      <c r="C4" s="60">
        <v>6000</v>
      </c>
      <c r="D4" s="59" t="s">
        <v>78</v>
      </c>
      <c r="E4" s="59">
        <v>5</v>
      </c>
    </row>
    <row r="5" spans="2:5" x14ac:dyDescent="0.25">
      <c r="B5" s="59">
        <v>4</v>
      </c>
      <c r="C5" s="60">
        <v>15000</v>
      </c>
      <c r="D5" s="59" t="s">
        <v>77</v>
      </c>
      <c r="E5" s="59">
        <v>10</v>
      </c>
    </row>
    <row r="6" spans="2:5" x14ac:dyDescent="0.25">
      <c r="B6" s="59">
        <v>5</v>
      </c>
      <c r="C6" s="60">
        <v>10000</v>
      </c>
      <c r="D6" s="59" t="s">
        <v>78</v>
      </c>
      <c r="E6" s="59">
        <v>2</v>
      </c>
    </row>
    <row r="7" spans="2:5" x14ac:dyDescent="0.25">
      <c r="B7" s="59">
        <v>6</v>
      </c>
      <c r="C7" s="60">
        <v>15000</v>
      </c>
      <c r="D7" s="59" t="s">
        <v>77</v>
      </c>
      <c r="E7" s="59">
        <v>5</v>
      </c>
    </row>
    <row r="8" spans="2:5" x14ac:dyDescent="0.25">
      <c r="B8" s="59">
        <v>7</v>
      </c>
      <c r="C8" s="60">
        <v>13000</v>
      </c>
      <c r="D8" s="59" t="s">
        <v>77</v>
      </c>
      <c r="E8" s="59">
        <v>999</v>
      </c>
    </row>
    <row r="9" spans="2:5" x14ac:dyDescent="0.25">
      <c r="B9" s="59">
        <v>8</v>
      </c>
      <c r="C9" s="60">
        <v>8000</v>
      </c>
      <c r="D9" s="59" t="s">
        <v>77</v>
      </c>
      <c r="E9" s="59">
        <v>2</v>
      </c>
    </row>
    <row r="10" spans="2:5" x14ac:dyDescent="0.25">
      <c r="B10" s="59">
        <v>9</v>
      </c>
      <c r="C10" s="60">
        <v>11000</v>
      </c>
      <c r="D10" s="59" t="s">
        <v>78</v>
      </c>
      <c r="E10" s="59">
        <v>5</v>
      </c>
    </row>
    <row r="11" spans="2:5" x14ac:dyDescent="0.25">
      <c r="B11" s="59">
        <v>10</v>
      </c>
      <c r="C11" s="60">
        <v>9000</v>
      </c>
      <c r="D11" s="59" t="s">
        <v>77</v>
      </c>
      <c r="E11" s="59">
        <v>6</v>
      </c>
    </row>
    <row r="18" spans="2:15" ht="15.75" thickBot="1" x14ac:dyDescent="0.3"/>
    <row r="19" spans="2:15" ht="19.5" thickBot="1" x14ac:dyDescent="0.35">
      <c r="B19" s="62">
        <v>1</v>
      </c>
      <c r="C19" s="62" t="s">
        <v>79</v>
      </c>
      <c r="D19" s="62"/>
      <c r="E19" s="62"/>
      <c r="F19" s="62"/>
      <c r="G19" s="62"/>
      <c r="H19" s="62"/>
      <c r="I19" s="63">
        <v>79000</v>
      </c>
      <c r="J19" s="61"/>
      <c r="L19">
        <f>SUMIF(D2:$D$11,"yes",$C$2:$C$11)</f>
        <v>79000</v>
      </c>
      <c r="O19" t="s">
        <v>115</v>
      </c>
    </row>
    <row r="20" spans="2:15" ht="19.5" thickBot="1" x14ac:dyDescent="0.35">
      <c r="B20" s="62">
        <v>2</v>
      </c>
      <c r="C20" s="62" t="s">
        <v>80</v>
      </c>
      <c r="D20" s="62"/>
      <c r="E20" s="62"/>
      <c r="F20" s="62"/>
      <c r="G20" s="62"/>
      <c r="H20" s="62"/>
      <c r="I20" s="63">
        <v>27000</v>
      </c>
      <c r="J20" s="61"/>
      <c r="L20">
        <f>SUMIF($D$2:$D$11,"no",$C$2:$C$11)</f>
        <v>27000</v>
      </c>
      <c r="O20" t="s">
        <v>115</v>
      </c>
    </row>
    <row r="21" spans="2:15" ht="19.5" thickBot="1" x14ac:dyDescent="0.35">
      <c r="B21" s="39"/>
      <c r="C21" s="39"/>
      <c r="D21" s="62"/>
      <c r="E21" s="62"/>
      <c r="F21" s="62"/>
      <c r="G21" s="62"/>
      <c r="H21" s="62"/>
      <c r="I21" s="62"/>
      <c r="J21" s="61"/>
    </row>
    <row r="22" spans="2:15" ht="19.5" thickBot="1" x14ac:dyDescent="0.35">
      <c r="B22" s="62">
        <v>3</v>
      </c>
      <c r="C22" s="62" t="s">
        <v>81</v>
      </c>
      <c r="D22" s="62"/>
      <c r="E22" s="62"/>
      <c r="F22" s="62"/>
      <c r="G22" s="62"/>
      <c r="H22" s="62"/>
      <c r="I22" s="63">
        <v>1028</v>
      </c>
      <c r="J22" s="61"/>
      <c r="L22">
        <f>SUMIF($C$2:$C$11,"&gt;10000",$E$2:$E$11)</f>
        <v>1028</v>
      </c>
    </row>
    <row r="23" spans="2:15" ht="19.5" thickBot="1" x14ac:dyDescent="0.35">
      <c r="B23" s="39"/>
      <c r="C23" s="39"/>
      <c r="D23" s="62"/>
      <c r="E23" s="62"/>
      <c r="F23" s="62"/>
      <c r="G23" s="62"/>
      <c r="H23" s="62"/>
      <c r="I23" s="62"/>
      <c r="J23" s="61"/>
    </row>
    <row r="24" spans="2:15" ht="19.5" thickBot="1" x14ac:dyDescent="0.35">
      <c r="B24" s="62">
        <v>4</v>
      </c>
      <c r="C24" s="62" t="s">
        <v>82</v>
      </c>
      <c r="D24" s="62"/>
      <c r="E24" s="62"/>
      <c r="F24" s="62"/>
      <c r="G24" s="62"/>
      <c r="H24" s="62"/>
      <c r="I24" s="64">
        <v>65000</v>
      </c>
      <c r="J24" s="61"/>
      <c r="L24">
        <f>SUMIF($C$2:$C$11,"&gt;10000",$C$2:$C$11)</f>
        <v>65000</v>
      </c>
    </row>
    <row r="25" spans="2:15" ht="19.5" thickBot="1" x14ac:dyDescent="0.35">
      <c r="B25" s="62">
        <v>5</v>
      </c>
      <c r="C25" s="62" t="s">
        <v>83</v>
      </c>
      <c r="D25" s="62"/>
      <c r="E25" s="62"/>
      <c r="F25" s="62"/>
      <c r="G25" s="62"/>
      <c r="H25" s="62"/>
      <c r="I25" s="64">
        <v>22000</v>
      </c>
      <c r="J25" s="61"/>
      <c r="L25">
        <f>SUMIF($C$2:$C$11,"&lt;9000",$C$2:$C$11)</f>
        <v>22000</v>
      </c>
    </row>
  </sheetData>
  <mergeCells count="2">
    <mergeCell ref="B21:C21"/>
    <mergeCell ref="B23:C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6A5D-20A1-40B4-B484-C21213A83DE0}">
  <dimension ref="C1:I33"/>
  <sheetViews>
    <sheetView tabSelected="1" topLeftCell="A13" workbookViewId="0">
      <selection activeCell="E29" sqref="E29"/>
    </sheetView>
  </sheetViews>
  <sheetFormatPr defaultRowHeight="15" x14ac:dyDescent="0.25"/>
  <cols>
    <col min="3" max="3" width="19" customWidth="1"/>
    <col min="4" max="4" width="27" customWidth="1"/>
    <col min="5" max="5" width="21.42578125" customWidth="1"/>
    <col min="6" max="6" width="15.28515625" customWidth="1"/>
  </cols>
  <sheetData>
    <row r="1" spans="3:6" x14ac:dyDescent="0.25">
      <c r="C1" s="67" t="s">
        <v>60</v>
      </c>
      <c r="D1" s="67" t="s">
        <v>84</v>
      </c>
      <c r="E1" s="67" t="s">
        <v>85</v>
      </c>
      <c r="F1" s="67" t="s">
        <v>86</v>
      </c>
    </row>
    <row r="2" spans="3:6" x14ac:dyDescent="0.25">
      <c r="C2" s="66" t="s">
        <v>87</v>
      </c>
      <c r="D2" s="66" t="s">
        <v>88</v>
      </c>
      <c r="E2" s="66" t="s">
        <v>89</v>
      </c>
      <c r="F2" s="66">
        <v>28</v>
      </c>
    </row>
    <row r="3" spans="3:6" x14ac:dyDescent="0.25">
      <c r="C3" s="66" t="s">
        <v>90</v>
      </c>
      <c r="D3" s="66" t="s">
        <v>91</v>
      </c>
      <c r="E3" s="66" t="s">
        <v>92</v>
      </c>
      <c r="F3" s="66">
        <v>8</v>
      </c>
    </row>
    <row r="4" spans="3:6" x14ac:dyDescent="0.25">
      <c r="C4" s="66" t="s">
        <v>93</v>
      </c>
      <c r="D4" s="66" t="s">
        <v>94</v>
      </c>
      <c r="E4" s="66" t="s">
        <v>89</v>
      </c>
      <c r="F4" s="66">
        <v>19</v>
      </c>
    </row>
    <row r="5" spans="3:6" x14ac:dyDescent="0.25">
      <c r="C5" s="66" t="s">
        <v>95</v>
      </c>
      <c r="D5" s="66" t="s">
        <v>96</v>
      </c>
      <c r="E5" s="66" t="s">
        <v>97</v>
      </c>
      <c r="F5" s="66">
        <v>2</v>
      </c>
    </row>
    <row r="6" spans="3:6" x14ac:dyDescent="0.25">
      <c r="C6" s="66" t="s">
        <v>98</v>
      </c>
      <c r="D6" s="66" t="s">
        <v>94</v>
      </c>
      <c r="E6" s="66" t="s">
        <v>99</v>
      </c>
      <c r="F6" s="66">
        <v>5</v>
      </c>
    </row>
    <row r="7" spans="3:6" x14ac:dyDescent="0.25">
      <c r="C7" s="66" t="s">
        <v>100</v>
      </c>
      <c r="D7" s="66" t="s">
        <v>91</v>
      </c>
      <c r="E7" s="66" t="s">
        <v>89</v>
      </c>
      <c r="F7" s="66">
        <v>9</v>
      </c>
    </row>
    <row r="8" spans="3:6" x14ac:dyDescent="0.25">
      <c r="C8" s="66" t="s">
        <v>101</v>
      </c>
      <c r="D8" s="66" t="s">
        <v>94</v>
      </c>
      <c r="E8" s="66" t="s">
        <v>102</v>
      </c>
      <c r="F8" s="66">
        <v>18</v>
      </c>
    </row>
    <row r="9" spans="3:6" x14ac:dyDescent="0.25">
      <c r="C9" s="66" t="s">
        <v>103</v>
      </c>
      <c r="D9" s="66" t="s">
        <v>88</v>
      </c>
      <c r="E9" s="66" t="s">
        <v>89</v>
      </c>
      <c r="F9" s="66">
        <v>11</v>
      </c>
    </row>
    <row r="10" spans="3:6" x14ac:dyDescent="0.25">
      <c r="C10" s="66" t="s">
        <v>104</v>
      </c>
      <c r="D10" s="66" t="s">
        <v>96</v>
      </c>
      <c r="E10" s="66" t="s">
        <v>105</v>
      </c>
      <c r="F10" s="66">
        <v>3</v>
      </c>
    </row>
    <row r="11" spans="3:6" x14ac:dyDescent="0.25">
      <c r="C11" s="66" t="s">
        <v>106</v>
      </c>
      <c r="D11" s="66" t="s">
        <v>91</v>
      </c>
      <c r="E11" s="66" t="s">
        <v>107</v>
      </c>
      <c r="F11" s="66">
        <v>15</v>
      </c>
    </row>
    <row r="17" spans="3:9" ht="15.75" x14ac:dyDescent="0.25">
      <c r="C17" s="70"/>
      <c r="D17" s="73" t="s">
        <v>108</v>
      </c>
      <c r="E17" s="70"/>
      <c r="F17" s="70"/>
      <c r="G17" s="72"/>
    </row>
    <row r="18" spans="3:9" ht="15.75" x14ac:dyDescent="0.25">
      <c r="C18" s="40"/>
      <c r="D18" s="40"/>
      <c r="E18" s="70"/>
      <c r="F18" s="70"/>
      <c r="G18" s="71"/>
    </row>
    <row r="19" spans="3:9" ht="15.75" x14ac:dyDescent="0.25">
      <c r="C19" s="70">
        <v>1</v>
      </c>
      <c r="D19" s="74" t="s">
        <v>109</v>
      </c>
      <c r="E19" s="70"/>
      <c r="F19" s="70"/>
      <c r="G19" s="71"/>
    </row>
    <row r="20" spans="3:9" ht="15.75" x14ac:dyDescent="0.25">
      <c r="C20" s="40"/>
      <c r="D20" s="40"/>
      <c r="E20" s="75" t="s">
        <v>110</v>
      </c>
      <c r="F20" s="75"/>
      <c r="G20" s="71"/>
    </row>
    <row r="21" spans="3:9" ht="15.75" x14ac:dyDescent="0.25">
      <c r="C21" s="70"/>
      <c r="D21" s="69" t="s">
        <v>111</v>
      </c>
      <c r="E21" s="76" t="s">
        <v>116</v>
      </c>
      <c r="F21" s="70"/>
      <c r="G21" s="71"/>
      <c r="I21">
        <f>SUMIF($E$2:$E$11,"USA",$F$2:$F$11)</f>
        <v>67</v>
      </c>
    </row>
    <row r="22" spans="3:9" ht="15.75" x14ac:dyDescent="0.25">
      <c r="C22" s="40"/>
      <c r="D22" s="40"/>
      <c r="E22" s="70"/>
      <c r="F22" s="70"/>
      <c r="G22" s="71"/>
    </row>
    <row r="23" spans="3:9" ht="15.75" x14ac:dyDescent="0.25">
      <c r="C23" s="70">
        <v>2</v>
      </c>
      <c r="D23" s="74" t="s">
        <v>112</v>
      </c>
      <c r="E23" s="70"/>
      <c r="F23" s="70"/>
      <c r="G23" s="71"/>
    </row>
    <row r="24" spans="3:9" ht="15.75" x14ac:dyDescent="0.25">
      <c r="C24" s="40"/>
      <c r="D24" s="40"/>
      <c r="E24" s="75" t="s">
        <v>110</v>
      </c>
      <c r="F24" s="75"/>
      <c r="G24" s="71"/>
    </row>
    <row r="25" spans="3:9" ht="15.75" x14ac:dyDescent="0.25">
      <c r="C25" s="70"/>
      <c r="D25" s="69" t="s">
        <v>111</v>
      </c>
      <c r="E25" s="76" t="s">
        <v>116</v>
      </c>
      <c r="F25" s="70"/>
      <c r="G25" s="71"/>
      <c r="I25">
        <f>SUMIF($D$2:$D$11,"figure skating",$F$2:$F$11)</f>
        <v>5</v>
      </c>
    </row>
    <row r="26" spans="3:9" ht="15.75" x14ac:dyDescent="0.25">
      <c r="C26" s="40"/>
      <c r="D26" s="40"/>
      <c r="E26" s="70"/>
      <c r="F26" s="70"/>
      <c r="G26" s="71"/>
    </row>
    <row r="27" spans="3:9" ht="15.75" x14ac:dyDescent="0.25">
      <c r="C27" s="70">
        <v>3</v>
      </c>
      <c r="D27" s="74" t="s">
        <v>113</v>
      </c>
      <c r="E27" s="70"/>
      <c r="F27" s="70"/>
      <c r="G27" s="71"/>
    </row>
    <row r="28" spans="3:9" ht="15.75" x14ac:dyDescent="0.25">
      <c r="C28" s="40"/>
      <c r="D28" s="40"/>
      <c r="E28" s="75" t="s">
        <v>110</v>
      </c>
      <c r="F28" s="75"/>
      <c r="G28" s="71"/>
    </row>
    <row r="29" spans="3:9" ht="15.75" x14ac:dyDescent="0.25">
      <c r="C29" s="70"/>
      <c r="D29" s="69" t="s">
        <v>111</v>
      </c>
      <c r="E29" s="76" t="s">
        <v>118</v>
      </c>
      <c r="F29" s="70"/>
      <c r="G29" s="71"/>
      <c r="I29">
        <f>SUMIF($E$2:$E$11,"USA",$F$2:$F$11)+SUMIF($E$2:$E$11,"Jamica",$F$2:$F$11)</f>
        <v>67</v>
      </c>
    </row>
    <row r="30" spans="3:9" x14ac:dyDescent="0.25">
      <c r="C30" s="65"/>
      <c r="D30" s="65"/>
      <c r="E30" s="71"/>
      <c r="F30" s="71"/>
      <c r="G30" s="71"/>
    </row>
    <row r="31" spans="3:9" ht="15.75" x14ac:dyDescent="0.25">
      <c r="C31" s="70">
        <v>4</v>
      </c>
      <c r="D31" s="74" t="s">
        <v>114</v>
      </c>
      <c r="E31" s="70"/>
      <c r="F31" s="70"/>
      <c r="G31" s="68"/>
    </row>
    <row r="32" spans="3:9" ht="15.75" x14ac:dyDescent="0.25">
      <c r="C32" s="40"/>
      <c r="D32" s="40"/>
      <c r="E32" s="75" t="s">
        <v>110</v>
      </c>
      <c r="F32" s="75"/>
      <c r="G32" s="68"/>
    </row>
    <row r="33" spans="3:9" ht="15.75" x14ac:dyDescent="0.25">
      <c r="C33" s="70"/>
      <c r="D33" s="69" t="s">
        <v>111</v>
      </c>
      <c r="E33" s="76" t="s">
        <v>117</v>
      </c>
      <c r="F33" s="70"/>
      <c r="G33" s="68"/>
      <c r="I33">
        <f>COUNTIF($E$2:$E$11,"USA")</f>
        <v>4</v>
      </c>
    </row>
  </sheetData>
  <mergeCells count="8">
    <mergeCell ref="C28:D28"/>
    <mergeCell ref="C30:D30"/>
    <mergeCell ref="C32:D32"/>
    <mergeCell ref="C18:D18"/>
    <mergeCell ref="C20:D20"/>
    <mergeCell ref="C22:D22"/>
    <mergeCell ref="C24:D24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Exercise-1</vt:lpstr>
      <vt:lpstr>Exercise-2</vt:lpstr>
      <vt:lpstr>Exercise-3</vt:lpstr>
      <vt:lpstr>Exercise-4</vt:lpstr>
      <vt:lpstr>Exercise-5</vt:lpstr>
      <vt:lpstr>Exercise-6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2025-08-12T11:51:17Z</dcterms:created>
  <dcterms:modified xsi:type="dcterms:W3CDTF">2025-08-12T16:25:44Z</dcterms:modified>
</cp:coreProperties>
</file>